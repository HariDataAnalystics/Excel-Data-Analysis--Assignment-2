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6a6ca6168532d54/Pictures/"/>
    </mc:Choice>
  </mc:AlternateContent>
  <xr:revisionPtr revIDLastSave="387" documentId="11_6E623FD8ECE4F609B1AC7BCCA7290F54B1BFD786" xr6:coauthVersionLast="47" xr6:coauthVersionMax="47" xr10:uidLastSave="{33F5AA3B-6F37-4D2C-ABE8-DF2A66B55DDD}"/>
  <bookViews>
    <workbookView xWindow="-108" yWindow="-108" windowWidth="23256" windowHeight="12456" xr2:uid="{00000000-000D-0000-FFFF-FFFF00000000}"/>
  </bookViews>
  <sheets>
    <sheet name="Datas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8" i="2" l="1"/>
  <c r="J42" i="2"/>
  <c r="P33" i="2"/>
  <c r="J37" i="2"/>
  <c r="J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J15" i="2"/>
  <c r="J9" i="2"/>
  <c r="J5" i="2"/>
</calcChain>
</file>

<file path=xl/sharedStrings.xml><?xml version="1.0" encoding="utf-8"?>
<sst xmlns="http://schemas.openxmlformats.org/spreadsheetml/2006/main" count="208" uniqueCount="158">
  <si>
    <t>Product ID</t>
  </si>
  <si>
    <t>Product Name</t>
  </si>
  <si>
    <t>Quantity</t>
  </si>
  <si>
    <t>28-JAN-US</t>
  </si>
  <si>
    <t>Electronics</t>
  </si>
  <si>
    <t>15-FEB-US</t>
  </si>
  <si>
    <t>Fashion</t>
  </si>
  <si>
    <t>03-MAR-US</t>
  </si>
  <si>
    <t>Kitchen</t>
  </si>
  <si>
    <t>11-APR-US</t>
  </si>
  <si>
    <t>22-MAY-US</t>
  </si>
  <si>
    <t>07-JUN-UK</t>
  </si>
  <si>
    <t>19-JUL-UK</t>
  </si>
  <si>
    <t>23-AUG-UK</t>
  </si>
  <si>
    <t>05-SEP-UK</t>
  </si>
  <si>
    <t>14-OCT-UK</t>
  </si>
  <si>
    <t>Outdoor</t>
  </si>
  <si>
    <t>17-JUN-IN</t>
  </si>
  <si>
    <t>25-NOV-AU</t>
  </si>
  <si>
    <t>08-DEC-DE</t>
  </si>
  <si>
    <t>18-FEB-CA</t>
  </si>
  <si>
    <t>16-APR-ES</t>
  </si>
  <si>
    <t>21-AUG-CA</t>
  </si>
  <si>
    <t>Accessories</t>
  </si>
  <si>
    <t>20-AUG-CN</t>
  </si>
  <si>
    <t>27-JAN-IT</t>
  </si>
  <si>
    <t>01-MAR-UK</t>
  </si>
  <si>
    <t>14-AUG-US</t>
  </si>
  <si>
    <t>14-MAY-RU</t>
  </si>
  <si>
    <t>09-JAN-CA</t>
  </si>
  <si>
    <t>19-JUL-BR</t>
  </si>
  <si>
    <t>29-SEP-CA</t>
  </si>
  <si>
    <t>03-JUN-CA</t>
  </si>
  <si>
    <t>11-JUL-CA</t>
  </si>
  <si>
    <t>07-MAR-CA</t>
  </si>
  <si>
    <t>13-APR-CA</t>
  </si>
  <si>
    <t>24-MAY-CA</t>
  </si>
  <si>
    <t>02-DEC-CA</t>
  </si>
  <si>
    <t>09-JUL-FR</t>
  </si>
  <si>
    <t>1. Handling Missing Values</t>
  </si>
  <si>
    <t>Question</t>
  </si>
  <si>
    <t>Formulas</t>
  </si>
  <si>
    <t>Formulas Used</t>
  </si>
  <si>
    <t xml:space="preserve"> Imputed Category</t>
  </si>
  <si>
    <t xml:space="preserve"> Check for missing values in the 'Price' column. How would you handle products with
missing price information?</t>
  </si>
  <si>
    <t xml:space="preserve">Imputed Price </t>
  </si>
  <si>
    <t>if(D2="",average($D$2:$D$35),D2)</t>
  </si>
  <si>
    <t>If there are products with missing categories, propose a strategy to impute or deal
with these missing values effectively.</t>
  </si>
  <si>
    <t>Unknown</t>
  </si>
  <si>
    <t>if(F2="","Unknown",F2)</t>
  </si>
  <si>
    <t>2. Correcting Inconsistent Data</t>
  </si>
  <si>
    <t>Identify any inconsistent text formats present in the "Product Name" column.</t>
  </si>
  <si>
    <t>proper(trim(clean(B2)))</t>
  </si>
  <si>
    <t>● Identify any typos present in the "Category" column.
● Use the find and replace function to standardize the text formats in the "Product
Name" column and fix any typos or misspellings in the "Category" column.</t>
  </si>
  <si>
    <t>No Formulas -Find &amp; Replace method used</t>
  </si>
  <si>
    <t>Find &amp; Replace</t>
  </si>
  <si>
    <t xml:space="preserve">        Electroni -Electronics</t>
  </si>
  <si>
    <t>3. Removing Duplicates</t>
  </si>
  <si>
    <t>Identify any duplicate rows within the dataset based on the entirety of each row, and
remove them if any.</t>
  </si>
  <si>
    <t>No Formulas - Remove Duplicates Methods Used</t>
  </si>
  <si>
    <t>Remove Duplicates</t>
  </si>
  <si>
    <t>3 Duplicates Values Are Removed.</t>
  </si>
  <si>
    <t>4. Splitting and Merging Data</t>
  </si>
  <si>
    <t>Manufacturing Date</t>
  </si>
  <si>
    <t>Split the "Product ID" column into two separate columns for " Manufacturing Date"
and "Country Code". Remove unnecessary characters, if any.</t>
  </si>
  <si>
    <t>Country Code</t>
  </si>
  <si>
    <t>Merge the "Brand Name" and "Product Name" columns into one column named
"Product Brand".</t>
  </si>
  <si>
    <t>Product Brand</t>
  </si>
  <si>
    <t>28-JAN</t>
  </si>
  <si>
    <t>15-FEB</t>
  </si>
  <si>
    <t>03-MAR</t>
  </si>
  <si>
    <t>11-APR</t>
  </si>
  <si>
    <t>22-MAY</t>
  </si>
  <si>
    <t>07-JUN</t>
  </si>
  <si>
    <t>19-JUL</t>
  </si>
  <si>
    <t>23-AUG</t>
  </si>
  <si>
    <t>05-SEP</t>
  </si>
  <si>
    <t>14-OCT</t>
  </si>
  <si>
    <t>17-JUN</t>
  </si>
  <si>
    <t>25-NOV</t>
  </si>
  <si>
    <t>08-DEC</t>
  </si>
  <si>
    <t>18-FEB</t>
  </si>
  <si>
    <t>16-APR</t>
  </si>
  <si>
    <t>21-AUG</t>
  </si>
  <si>
    <t>20-AUG</t>
  </si>
  <si>
    <t>27-JAN</t>
  </si>
  <si>
    <t>01-MAR</t>
  </si>
  <si>
    <t>14-AUG</t>
  </si>
  <si>
    <t>14-MAY</t>
  </si>
  <si>
    <t>09-JAN</t>
  </si>
  <si>
    <t>29-SEP</t>
  </si>
  <si>
    <t>03-JUN</t>
  </si>
  <si>
    <t>11-JUL</t>
  </si>
  <si>
    <t>07-MAR</t>
  </si>
  <si>
    <t>13-APR</t>
  </si>
  <si>
    <t>24-MAY</t>
  </si>
  <si>
    <t>02-DEC</t>
  </si>
  <si>
    <t>09-JUL</t>
  </si>
  <si>
    <t>left(A2,6)</t>
  </si>
  <si>
    <t>right(A2,2)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</si>
  <si>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</si>
  <si>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</si>
  <si>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</si>
  <si>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</si>
  <si>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</si>
  <si>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</si>
  <si>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</si>
  <si>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</si>
  <si>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</si>
  <si>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</si>
  <si>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</si>
  <si>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</si>
  <si>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Laptop Dell</t>
  </si>
  <si>
    <t>Sneakers Nike</t>
  </si>
  <si>
    <t>Coffee Maker Keurig</t>
  </si>
  <si>
    <t>Smartphone Samsung</t>
  </si>
  <si>
    <t>Backpack North Face</t>
  </si>
  <si>
    <t>Headphones Sony</t>
  </si>
  <si>
    <t>T-Shirt Adidas</t>
  </si>
  <si>
    <t>Blender Ninja</t>
  </si>
  <si>
    <t>Tablet Apple</t>
  </si>
  <si>
    <t>Hiking Boots Timberland</t>
  </si>
  <si>
    <t>Laptop HP</t>
  </si>
  <si>
    <t>Sneakers Adidas</t>
  </si>
  <si>
    <t>Coffee Maker Nespresso</t>
  </si>
  <si>
    <t>Smartwatch Fitbit</t>
  </si>
  <si>
    <t>Headphones Bose</t>
  </si>
  <si>
    <t>Laptop Bag Samsonite</t>
  </si>
  <si>
    <t>Smartwatch Huawei</t>
  </si>
  <si>
    <t>Laptop Asus</t>
  </si>
  <si>
    <t>Sunglasses Oakley</t>
  </si>
  <si>
    <t>Camping Tent Coleman</t>
  </si>
  <si>
    <t>Camera Nikon</t>
  </si>
  <si>
    <t>Microwave Panasonic</t>
  </si>
  <si>
    <t>Fitness Tracker Xiaomi</t>
  </si>
  <si>
    <t>Smartphone Google</t>
  </si>
  <si>
    <t>Sunglasses Ray-Ban</t>
  </si>
  <si>
    <t>Blender Vitamix</t>
  </si>
  <si>
    <t>Dress Zara</t>
  </si>
  <si>
    <t>Toaster Hamilton</t>
  </si>
  <si>
    <t>Fitness Tracker Garmin</t>
  </si>
  <si>
    <t>Jeans Levi's</t>
  </si>
  <si>
    <t>Watch Casio</t>
  </si>
  <si>
    <t>CONCATENATE(D2," ",F2)</t>
  </si>
  <si>
    <t>5. Number Formatting</t>
  </si>
  <si>
    <t>Format the data type of the "Price" column to a currency format.</t>
  </si>
  <si>
    <t>No formula - Currency Format Used</t>
  </si>
  <si>
    <t>Currency Number Format</t>
  </si>
  <si>
    <t>Format the "Manufacturing Date" column to display dates in the "DD-MM-YYYY "
format.</t>
  </si>
  <si>
    <t>No formula - NumberFormat Used</t>
  </si>
  <si>
    <t>Custom Date format</t>
  </si>
  <si>
    <t>6. Conditional Formatting</t>
  </si>
  <si>
    <t>Apply data bar or color scales conditional formatting in the "Price" column.</t>
  </si>
  <si>
    <t>No Formula - Conditional Formatting Used</t>
  </si>
  <si>
    <t>Data Bars /  Color Scale</t>
  </si>
  <si>
    <t>Create a
custom rule for conditional formatting in the "Category" column to highlight cells where
the category is "Electronics."</t>
  </si>
  <si>
    <t>Conditional Formatting-Custom  Rule</t>
  </si>
  <si>
    <t>$G2="Electronics"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</si>
</sst>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[$$-409]#,##0.00"/>
  </numFmts>
  <fonts count="8">
    <font>
      <sz val="10"/>
      <color rgb="FF000000"/>
      <name val="Arial"/>
      <charset val="134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rgb="FF4DD0E1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5" fillId="6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66" fontId="1" fillId="2" borderId="0" xfId="0" applyNumberFormat="1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6" fontId="2" fillId="3" borderId="0" xfId="0" applyNumberFormat="1" applyFont="1" applyFill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5"/>
      <tableStyleElement type="headerRow" dxfId="34"/>
      <tableStyleElement type="totalRow" dxfId="33"/>
      <tableStyleElement type="firstColumn" dxfId="32"/>
      <tableStyleElement type="lastColumn" dxfId="31"/>
      <tableStyleElement type="firstRowStripe" dxfId="30"/>
      <tableStyleElement type="firstColumnStripe" dxfId="29"/>
    </tableStyle>
    <tableStyle name="PivotStylePreset2_Accent1" table="0" count="10" xr9:uid="{267968C8-6FFD-4C36-ACC1-9EA1FD1885CA}">
      <tableStyleElement type="headerRow" dxfId="28"/>
      <tableStyleElement type="totalRow" dxfId="27"/>
      <tableStyleElement type="firstRowStripe" dxfId="26"/>
      <tableStyleElement type="firstColumnStripe" dxfId="25"/>
      <tableStyleElement type="firstSubtotalRow" dxfId="24"/>
      <tableStyleElement type="secondSubtotalRow" dxfId="23"/>
      <tableStyleElement type="firstRowSubheading" dxfId="22"/>
      <tableStyleElement type="secondRowSubheading" dxfId="21"/>
      <tableStyleElement type="pageFieldLabels" dxfId="20"/>
      <tableStyleElement type="pageFieldValues" dxfId="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000"/>
  <sheetViews>
    <sheetView tabSelected="1" workbookViewId="0">
      <selection activeCell="J40" sqref="J40"/>
    </sheetView>
  </sheetViews>
  <sheetFormatPr defaultColWidth="12.6640625" defaultRowHeight="15" customHeight="1"/>
  <cols>
    <col min="1" max="3" width="21.5546875" customWidth="1"/>
    <col min="4" max="4" width="25.33203125" customWidth="1"/>
    <col min="5" max="5" width="25.44140625" customWidth="1"/>
    <col min="6" max="6" width="21.6640625" customWidth="1"/>
    <col min="7" max="7" width="22.33203125" customWidth="1"/>
    <col min="8" max="8" width="19" customWidth="1"/>
    <col min="9" max="9" width="48.6640625" customWidth="1"/>
    <col min="10" max="10" width="49.6640625" customWidth="1"/>
    <col min="11" max="11" width="36.6640625" customWidth="1"/>
    <col min="12" max="12" width="46.44140625" customWidth="1"/>
    <col min="13" max="13" width="40.33203125" customWidth="1"/>
    <col min="14" max="14" width="40.5546875" customWidth="1"/>
    <col min="15" max="15" width="42.88671875" customWidth="1"/>
    <col min="16" max="16" width="23.5546875" customWidth="1"/>
  </cols>
  <sheetData>
    <row r="1" spans="1:14" ht="15.75" customHeight="1">
      <c r="A1" s="1" t="s">
        <v>0</v>
      </c>
      <c r="B1" s="1" t="s">
        <v>63</v>
      </c>
      <c r="C1" s="1" t="s">
        <v>65</v>
      </c>
      <c r="D1" s="1" t="s">
        <v>67</v>
      </c>
      <c r="E1" s="5" t="s">
        <v>45</v>
      </c>
      <c r="F1" s="1" t="s">
        <v>2</v>
      </c>
      <c r="G1" s="1" t="s">
        <v>43</v>
      </c>
      <c r="I1" s="3" t="s">
        <v>39</v>
      </c>
      <c r="J1" s="3"/>
      <c r="K1" s="3"/>
    </row>
    <row r="2" spans="1:14" ht="15.75" customHeight="1">
      <c r="A2" s="18" t="s">
        <v>3</v>
      </c>
      <c r="B2" s="18" t="s">
        <v>68</v>
      </c>
      <c r="C2" s="18" t="s">
        <v>100</v>
      </c>
      <c r="D2" s="18" t="s">
        <v>112</v>
      </c>
      <c r="E2" s="19">
        <v>1000</v>
      </c>
      <c r="F2" s="18">
        <v>30</v>
      </c>
      <c r="G2" s="18" t="s">
        <v>4</v>
      </c>
      <c r="I2" s="4" t="s">
        <v>40</v>
      </c>
      <c r="J2" s="4" t="s">
        <v>41</v>
      </c>
      <c r="K2" s="4" t="s">
        <v>42</v>
      </c>
    </row>
    <row r="3" spans="1:14" ht="15.75" customHeight="1">
      <c r="A3" s="20" t="s">
        <v>5</v>
      </c>
      <c r="B3" s="20" t="s">
        <v>69</v>
      </c>
      <c r="C3" s="20" t="s">
        <v>100</v>
      </c>
      <c r="D3" s="20" t="s">
        <v>113</v>
      </c>
      <c r="E3" s="21">
        <v>80</v>
      </c>
      <c r="F3" s="20">
        <v>15</v>
      </c>
      <c r="G3" s="20" t="s">
        <v>6</v>
      </c>
      <c r="I3" s="8" t="s">
        <v>44</v>
      </c>
      <c r="J3" s="23" t="s">
        <v>43</v>
      </c>
      <c r="K3" s="12"/>
      <c r="L3" s="2"/>
      <c r="M3" s="2"/>
      <c r="N3" s="2"/>
    </row>
    <row r="4" spans="1:14" ht="15.75" customHeight="1">
      <c r="A4" s="18" t="s">
        <v>7</v>
      </c>
      <c r="B4" s="18" t="s">
        <v>70</v>
      </c>
      <c r="C4" s="18" t="s">
        <v>100</v>
      </c>
      <c r="D4" s="18" t="s">
        <v>114</v>
      </c>
      <c r="E4" s="19">
        <v>130</v>
      </c>
      <c r="F4" s="18">
        <v>40</v>
      </c>
      <c r="G4" s="18" t="s">
        <v>8</v>
      </c>
      <c r="I4" s="9"/>
      <c r="J4" s="12"/>
      <c r="K4" s="13"/>
      <c r="L4" s="2"/>
      <c r="M4" s="2"/>
      <c r="N4" s="2"/>
    </row>
    <row r="5" spans="1:14" ht="15.75" customHeight="1">
      <c r="A5" s="20" t="s">
        <v>9</v>
      </c>
      <c r="B5" s="20" t="s">
        <v>71</v>
      </c>
      <c r="C5" s="20" t="s">
        <v>100</v>
      </c>
      <c r="D5" s="20" t="s">
        <v>115</v>
      </c>
      <c r="E5" s="21">
        <v>900</v>
      </c>
      <c r="F5" s="20">
        <v>25</v>
      </c>
      <c r="G5" s="20" t="s">
        <v>4</v>
      </c>
      <c r="I5" s="9"/>
      <c r="J5" s="14">
        <f>IF(E2="",AVERAGE($H$2:$H$35),E2)</f>
        <v>1000</v>
      </c>
      <c r="K5" s="6" t="s">
        <v>46</v>
      </c>
      <c r="L5" s="2"/>
      <c r="M5" s="2"/>
      <c r="N5" s="2"/>
    </row>
    <row r="6" spans="1:14" ht="15.75" customHeight="1">
      <c r="A6" s="18" t="s">
        <v>10</v>
      </c>
      <c r="B6" s="18" t="s">
        <v>72</v>
      </c>
      <c r="C6" s="18" t="s">
        <v>100</v>
      </c>
      <c r="D6" s="18" t="s">
        <v>116</v>
      </c>
      <c r="E6" s="19">
        <v>70</v>
      </c>
      <c r="F6" s="18">
        <v>20</v>
      </c>
      <c r="G6" s="18" t="s">
        <v>48</v>
      </c>
      <c r="I6" s="9"/>
      <c r="J6" s="15"/>
      <c r="K6" s="15"/>
    </row>
    <row r="7" spans="1:14" ht="15.75" customHeight="1">
      <c r="A7" s="20" t="s">
        <v>11</v>
      </c>
      <c r="B7" s="20" t="s">
        <v>73</v>
      </c>
      <c r="C7" s="20" t="s">
        <v>101</v>
      </c>
      <c r="D7" s="20" t="s">
        <v>117</v>
      </c>
      <c r="E7" s="21">
        <v>309.35483870967744</v>
      </c>
      <c r="F7" s="20">
        <v>45</v>
      </c>
      <c r="G7" s="20" t="s">
        <v>4</v>
      </c>
      <c r="I7" s="10"/>
      <c r="J7" s="23" t="s">
        <v>43</v>
      </c>
      <c r="K7" s="15"/>
    </row>
    <row r="8" spans="1:14" ht="15.75" customHeight="1">
      <c r="A8" s="18" t="s">
        <v>12</v>
      </c>
      <c r="B8" s="18" t="s">
        <v>74</v>
      </c>
      <c r="C8" s="18" t="s">
        <v>101</v>
      </c>
      <c r="D8" s="18" t="s">
        <v>118</v>
      </c>
      <c r="E8" s="19">
        <v>30</v>
      </c>
      <c r="F8" s="18">
        <v>5</v>
      </c>
      <c r="G8" s="18" t="s">
        <v>6</v>
      </c>
      <c r="I8" s="8" t="s">
        <v>47</v>
      </c>
      <c r="J8" s="15"/>
      <c r="K8" s="15"/>
    </row>
    <row r="9" spans="1:14" ht="15.75" customHeight="1">
      <c r="A9" s="20" t="s">
        <v>13</v>
      </c>
      <c r="B9" s="20" t="s">
        <v>75</v>
      </c>
      <c r="C9" s="20" t="s">
        <v>101</v>
      </c>
      <c r="D9" s="20" t="s">
        <v>119</v>
      </c>
      <c r="E9" s="21">
        <v>90</v>
      </c>
      <c r="F9" s="20">
        <v>35</v>
      </c>
      <c r="G9" s="20" t="s">
        <v>8</v>
      </c>
      <c r="I9" s="9"/>
      <c r="J9" s="16" t="str">
        <f>IF(G2="","Unknown",G2)</f>
        <v>Electronics</v>
      </c>
      <c r="K9" s="6" t="s">
        <v>49</v>
      </c>
    </row>
    <row r="10" spans="1:14" ht="15.75" customHeight="1">
      <c r="A10" s="18" t="s">
        <v>14</v>
      </c>
      <c r="B10" s="18" t="s">
        <v>76</v>
      </c>
      <c r="C10" s="18" t="s">
        <v>101</v>
      </c>
      <c r="D10" s="18" t="s">
        <v>120</v>
      </c>
      <c r="E10" s="19">
        <v>500</v>
      </c>
      <c r="F10" s="18">
        <v>50</v>
      </c>
      <c r="G10" s="18" t="s">
        <v>4</v>
      </c>
      <c r="I10" s="9"/>
      <c r="J10" s="15"/>
      <c r="K10" s="15"/>
    </row>
    <row r="11" spans="1:14" ht="15.75" customHeight="1">
      <c r="A11" s="20" t="s">
        <v>15</v>
      </c>
      <c r="B11" s="20" t="s">
        <v>77</v>
      </c>
      <c r="C11" s="20" t="s">
        <v>101</v>
      </c>
      <c r="D11" s="20" t="s">
        <v>121</v>
      </c>
      <c r="E11" s="21">
        <v>130</v>
      </c>
      <c r="F11" s="20">
        <v>10</v>
      </c>
      <c r="G11" s="20" t="s">
        <v>16</v>
      </c>
      <c r="I11" s="9"/>
      <c r="J11" s="15"/>
      <c r="K11" s="15"/>
    </row>
    <row r="12" spans="1:14" ht="15.75" customHeight="1">
      <c r="A12" s="18" t="s">
        <v>17</v>
      </c>
      <c r="B12" s="18" t="s">
        <v>78</v>
      </c>
      <c r="C12" s="18" t="s">
        <v>102</v>
      </c>
      <c r="D12" s="18" t="s">
        <v>122</v>
      </c>
      <c r="E12" s="19">
        <v>950</v>
      </c>
      <c r="F12" s="18">
        <v>25</v>
      </c>
      <c r="G12" s="18" t="s">
        <v>4</v>
      </c>
      <c r="I12" s="3" t="s">
        <v>50</v>
      </c>
      <c r="J12" s="3"/>
      <c r="K12" s="3"/>
    </row>
    <row r="13" spans="1:14" ht="15.75" customHeight="1">
      <c r="A13" s="20" t="s">
        <v>18</v>
      </c>
      <c r="B13" s="20" t="s">
        <v>79</v>
      </c>
      <c r="C13" s="20" t="s">
        <v>103</v>
      </c>
      <c r="D13" s="20" t="s">
        <v>123</v>
      </c>
      <c r="E13" s="21">
        <v>90</v>
      </c>
      <c r="F13" s="20">
        <v>40</v>
      </c>
      <c r="G13" s="20" t="s">
        <v>48</v>
      </c>
      <c r="I13" s="8" t="s">
        <v>51</v>
      </c>
      <c r="J13" s="23" t="s">
        <v>1</v>
      </c>
      <c r="K13" s="15"/>
    </row>
    <row r="14" spans="1:14" ht="15.75" customHeight="1">
      <c r="A14" s="18" t="s">
        <v>19</v>
      </c>
      <c r="B14" s="18" t="s">
        <v>80</v>
      </c>
      <c r="C14" s="18" t="s">
        <v>104</v>
      </c>
      <c r="D14" s="18" t="s">
        <v>124</v>
      </c>
      <c r="E14" s="19">
        <v>120</v>
      </c>
      <c r="F14" s="18">
        <v>35</v>
      </c>
      <c r="G14" s="18" t="s">
        <v>48</v>
      </c>
      <c r="I14" s="11"/>
      <c r="J14" s="15"/>
      <c r="K14" s="15"/>
    </row>
    <row r="15" spans="1:14" ht="15.75" customHeight="1">
      <c r="A15" s="20" t="s">
        <v>20</v>
      </c>
      <c r="B15" s="20" t="s">
        <v>81</v>
      </c>
      <c r="C15" s="20" t="s">
        <v>105</v>
      </c>
      <c r="D15" s="20" t="s">
        <v>125</v>
      </c>
      <c r="E15" s="21">
        <v>150</v>
      </c>
      <c r="F15" s="20">
        <v>15</v>
      </c>
      <c r="G15" s="20" t="s">
        <v>4</v>
      </c>
      <c r="I15" s="11"/>
      <c r="J15" s="16" t="str">
        <f>PROPER(TRIM(CLEAN(D2)))</f>
        <v>Laptop Dell</v>
      </c>
      <c r="K15" s="6" t="s">
        <v>52</v>
      </c>
    </row>
    <row r="16" spans="1:14" ht="15.75" customHeight="1">
      <c r="A16" s="18" t="s">
        <v>21</v>
      </c>
      <c r="B16" s="18" t="s">
        <v>82</v>
      </c>
      <c r="C16" s="18" t="s">
        <v>106</v>
      </c>
      <c r="D16" s="18" t="s">
        <v>126</v>
      </c>
      <c r="E16" s="19">
        <v>250</v>
      </c>
      <c r="F16" s="18">
        <v>20</v>
      </c>
      <c r="G16" s="18" t="s">
        <v>4</v>
      </c>
      <c r="I16" s="11"/>
      <c r="J16" s="15"/>
      <c r="K16" s="15"/>
    </row>
    <row r="17" spans="1:11" ht="15.75" customHeight="1">
      <c r="A17" s="20" t="s">
        <v>22</v>
      </c>
      <c r="B17" s="20" t="s">
        <v>83</v>
      </c>
      <c r="C17" s="20" t="s">
        <v>105</v>
      </c>
      <c r="D17" s="20" t="s">
        <v>127</v>
      </c>
      <c r="E17" s="21">
        <v>50</v>
      </c>
      <c r="F17" s="20">
        <v>35</v>
      </c>
      <c r="G17" s="20" t="s">
        <v>23</v>
      </c>
      <c r="I17" s="8" t="s">
        <v>53</v>
      </c>
      <c r="J17" s="15"/>
      <c r="K17" s="15"/>
    </row>
    <row r="18" spans="1:11" ht="15.75" customHeight="1">
      <c r="A18" s="18" t="s">
        <v>24</v>
      </c>
      <c r="B18" s="18" t="s">
        <v>84</v>
      </c>
      <c r="C18" s="18" t="s">
        <v>107</v>
      </c>
      <c r="D18" s="18" t="s">
        <v>128</v>
      </c>
      <c r="E18" s="19">
        <v>160</v>
      </c>
      <c r="F18" s="18">
        <v>15</v>
      </c>
      <c r="G18" s="18" t="s">
        <v>4</v>
      </c>
      <c r="I18" s="8"/>
      <c r="J18" s="15"/>
      <c r="K18" s="15"/>
    </row>
    <row r="19" spans="1:11" ht="15.75" customHeight="1">
      <c r="A19" s="20" t="s">
        <v>25</v>
      </c>
      <c r="B19" s="20" t="s">
        <v>85</v>
      </c>
      <c r="C19" s="20" t="s">
        <v>108</v>
      </c>
      <c r="D19" s="20" t="s">
        <v>129</v>
      </c>
      <c r="E19" s="21">
        <v>980</v>
      </c>
      <c r="F19" s="20">
        <v>10</v>
      </c>
      <c r="G19" s="20" t="s">
        <v>4</v>
      </c>
      <c r="I19" s="8"/>
      <c r="J19" s="17" t="s">
        <v>54</v>
      </c>
      <c r="K19" s="6" t="s">
        <v>55</v>
      </c>
    </row>
    <row r="20" spans="1:11" ht="15.75" customHeight="1">
      <c r="A20" s="18" t="s">
        <v>26</v>
      </c>
      <c r="B20" s="18" t="s">
        <v>86</v>
      </c>
      <c r="C20" s="18" t="s">
        <v>101</v>
      </c>
      <c r="D20" s="18" t="s">
        <v>130</v>
      </c>
      <c r="E20" s="19">
        <v>150</v>
      </c>
      <c r="F20" s="18">
        <v>15</v>
      </c>
      <c r="G20" s="18" t="s">
        <v>6</v>
      </c>
      <c r="I20" s="8"/>
      <c r="J20" s="14" t="s">
        <v>56</v>
      </c>
      <c r="K20" s="15"/>
    </row>
    <row r="21" spans="1:11" ht="15.75" customHeight="1">
      <c r="A21" s="20" t="s">
        <v>27</v>
      </c>
      <c r="B21" s="20" t="s">
        <v>87</v>
      </c>
      <c r="C21" s="20" t="s">
        <v>100</v>
      </c>
      <c r="D21" s="20" t="s">
        <v>131</v>
      </c>
      <c r="E21" s="21">
        <v>309.35483870967744</v>
      </c>
      <c r="F21" s="20">
        <v>10</v>
      </c>
      <c r="G21" s="20" t="s">
        <v>16</v>
      </c>
      <c r="I21" s="8"/>
      <c r="J21" s="15"/>
      <c r="K21" s="15"/>
    </row>
    <row r="22" spans="1:11" ht="15.75" customHeight="1">
      <c r="A22" s="18" t="s">
        <v>28</v>
      </c>
      <c r="B22" s="18" t="s">
        <v>88</v>
      </c>
      <c r="C22" s="18" t="s">
        <v>109</v>
      </c>
      <c r="D22" s="18" t="s">
        <v>132</v>
      </c>
      <c r="E22" s="19">
        <v>700</v>
      </c>
      <c r="F22" s="18">
        <v>50</v>
      </c>
      <c r="G22" s="18" t="s">
        <v>4</v>
      </c>
      <c r="I22" s="15"/>
      <c r="J22" s="15"/>
      <c r="K22" s="15"/>
    </row>
    <row r="23" spans="1:11" ht="15.75" customHeight="1">
      <c r="A23" s="20" t="s">
        <v>29</v>
      </c>
      <c r="B23" s="20" t="s">
        <v>89</v>
      </c>
      <c r="C23" s="20" t="s">
        <v>105</v>
      </c>
      <c r="D23" s="20" t="s">
        <v>133</v>
      </c>
      <c r="E23" s="21">
        <v>80</v>
      </c>
      <c r="F23" s="20">
        <v>20</v>
      </c>
      <c r="G23" s="20" t="s">
        <v>8</v>
      </c>
      <c r="I23" s="3" t="s">
        <v>57</v>
      </c>
      <c r="J23" s="3"/>
      <c r="K23" s="3"/>
    </row>
    <row r="24" spans="1:11" ht="15.75" customHeight="1">
      <c r="A24" s="18" t="s">
        <v>30</v>
      </c>
      <c r="B24" s="18" t="s">
        <v>74</v>
      </c>
      <c r="C24" s="18" t="s">
        <v>110</v>
      </c>
      <c r="D24" s="18" t="s">
        <v>134</v>
      </c>
      <c r="E24" s="19">
        <v>150</v>
      </c>
      <c r="F24" s="18">
        <v>30</v>
      </c>
      <c r="G24" s="18" t="s">
        <v>48</v>
      </c>
      <c r="I24" s="8" t="s">
        <v>58</v>
      </c>
      <c r="J24" s="15"/>
      <c r="K24" s="15"/>
    </row>
    <row r="25" spans="1:11" ht="15.75" customHeight="1">
      <c r="A25" s="18" t="s">
        <v>31</v>
      </c>
      <c r="B25" s="18" t="s">
        <v>90</v>
      </c>
      <c r="C25" s="18" t="s">
        <v>105</v>
      </c>
      <c r="D25" s="18" t="s">
        <v>135</v>
      </c>
      <c r="E25" s="19">
        <v>800</v>
      </c>
      <c r="F25" s="18">
        <v>45</v>
      </c>
      <c r="G25" s="18" t="s">
        <v>4</v>
      </c>
      <c r="I25" s="9"/>
      <c r="J25" s="17" t="s">
        <v>59</v>
      </c>
      <c r="K25" s="6" t="s">
        <v>60</v>
      </c>
    </row>
    <row r="26" spans="1:11" ht="15.75" customHeight="1">
      <c r="A26" s="20" t="s">
        <v>32</v>
      </c>
      <c r="B26" s="20" t="s">
        <v>91</v>
      </c>
      <c r="C26" s="20" t="s">
        <v>105</v>
      </c>
      <c r="D26" s="20" t="s">
        <v>136</v>
      </c>
      <c r="E26" s="21">
        <v>309.35483870967744</v>
      </c>
      <c r="F26" s="20">
        <v>25</v>
      </c>
      <c r="G26" s="20" t="s">
        <v>6</v>
      </c>
      <c r="I26" s="9"/>
      <c r="J26" s="16" t="s">
        <v>61</v>
      </c>
      <c r="K26" s="15"/>
    </row>
    <row r="27" spans="1:11" ht="15.75" customHeight="1">
      <c r="A27" s="18" t="s">
        <v>33</v>
      </c>
      <c r="B27" s="18" t="s">
        <v>92</v>
      </c>
      <c r="C27" s="18" t="s">
        <v>105</v>
      </c>
      <c r="D27" s="18" t="s">
        <v>137</v>
      </c>
      <c r="E27" s="19">
        <v>400</v>
      </c>
      <c r="F27" s="18">
        <v>40</v>
      </c>
      <c r="G27" s="18" t="s">
        <v>8</v>
      </c>
      <c r="I27" s="9"/>
      <c r="J27" s="15"/>
      <c r="K27" s="15"/>
    </row>
    <row r="28" spans="1:11" ht="15.75" customHeight="1">
      <c r="A28" s="18" t="s">
        <v>34</v>
      </c>
      <c r="B28" s="18" t="s">
        <v>93</v>
      </c>
      <c r="C28" s="18" t="s">
        <v>105</v>
      </c>
      <c r="D28" s="18" t="s">
        <v>138</v>
      </c>
      <c r="E28" s="19">
        <v>60</v>
      </c>
      <c r="F28" s="18">
        <v>30</v>
      </c>
      <c r="G28" s="18" t="s">
        <v>6</v>
      </c>
      <c r="I28" s="10"/>
      <c r="J28" s="15"/>
      <c r="K28" s="15"/>
    </row>
    <row r="29" spans="1:11" ht="15.75" customHeight="1">
      <c r="A29" s="20" t="s">
        <v>35</v>
      </c>
      <c r="B29" s="20" t="s">
        <v>94</v>
      </c>
      <c r="C29" s="20" t="s">
        <v>105</v>
      </c>
      <c r="D29" s="20" t="s">
        <v>139</v>
      </c>
      <c r="E29" s="21">
        <v>40</v>
      </c>
      <c r="F29" s="20">
        <v>10</v>
      </c>
      <c r="G29" s="20" t="s">
        <v>8</v>
      </c>
      <c r="I29" s="3" t="s">
        <v>62</v>
      </c>
      <c r="J29" s="3"/>
      <c r="K29" s="3"/>
    </row>
    <row r="30" spans="1:11" ht="15.75" customHeight="1">
      <c r="A30" s="18" t="s">
        <v>36</v>
      </c>
      <c r="B30" s="18" t="s">
        <v>95</v>
      </c>
      <c r="C30" s="18" t="s">
        <v>105</v>
      </c>
      <c r="D30" s="18" t="s">
        <v>140</v>
      </c>
      <c r="E30" s="19">
        <v>130</v>
      </c>
      <c r="F30" s="18">
        <v>5</v>
      </c>
      <c r="G30" s="18" t="s">
        <v>4</v>
      </c>
      <c r="I30" s="8" t="s">
        <v>64</v>
      </c>
      <c r="J30" s="23" t="s">
        <v>63</v>
      </c>
      <c r="K30" s="15"/>
    </row>
    <row r="31" spans="1:11" ht="15.75" customHeight="1">
      <c r="A31" s="20" t="s">
        <v>37</v>
      </c>
      <c r="B31" s="20" t="s">
        <v>96</v>
      </c>
      <c r="C31" s="20" t="s">
        <v>105</v>
      </c>
      <c r="D31" s="20" t="s">
        <v>141</v>
      </c>
      <c r="E31" s="21">
        <v>50</v>
      </c>
      <c r="F31" s="20">
        <v>50</v>
      </c>
      <c r="G31" s="20" t="s">
        <v>6</v>
      </c>
      <c r="I31" s="8"/>
      <c r="J31" s="15"/>
      <c r="K31" s="15"/>
    </row>
    <row r="32" spans="1:11" ht="15.75" customHeight="1">
      <c r="A32" s="20" t="s">
        <v>38</v>
      </c>
      <c r="B32" s="20" t="s">
        <v>97</v>
      </c>
      <c r="C32" s="20" t="s">
        <v>111</v>
      </c>
      <c r="D32" s="20" t="s">
        <v>142</v>
      </c>
      <c r="E32" s="21">
        <v>100</v>
      </c>
      <c r="F32" s="20">
        <v>20</v>
      </c>
      <c r="G32" s="20" t="s">
        <v>23</v>
      </c>
      <c r="I32" s="8"/>
      <c r="J32" s="16" t="str">
        <f>LEFT(A2,6)</f>
        <v>28-JAN</v>
      </c>
      <c r="K32" s="6" t="s">
        <v>98</v>
      </c>
    </row>
    <row r="33" spans="9:17" ht="15.75" customHeight="1">
      <c r="I33" s="8"/>
      <c r="J33" s="15"/>
      <c r="K33" s="15"/>
      <c r="L33" s="7"/>
      <c r="P33" t="str">
        <f>RIGHT(A33,2)</f>
        <v/>
      </c>
      <c r="Q33" t="str">
        <f>LEFT(A33,6)</f>
        <v/>
      </c>
    </row>
    <row r="34" spans="9:17" ht="15.75" customHeight="1">
      <c r="I34" s="8"/>
      <c r="J34" s="15"/>
      <c r="K34" s="15"/>
      <c r="Q34" t="str">
        <f>LEFT(A34,6)</f>
        <v/>
      </c>
    </row>
    <row r="35" spans="9:17" ht="15.75" customHeight="1">
      <c r="I35" s="8"/>
      <c r="J35" s="23" t="s">
        <v>65</v>
      </c>
      <c r="K35" s="15"/>
      <c r="Q35" t="str">
        <f>LEFT(A35,6)</f>
        <v/>
      </c>
    </row>
    <row r="36" spans="9:17" ht="15.75" customHeight="1">
      <c r="I36" s="8"/>
      <c r="J36" s="15"/>
      <c r="K36" s="15"/>
      <c r="Q36" t="str">
        <f>LEFT(A36,6)</f>
        <v/>
      </c>
    </row>
    <row r="37" spans="9:17" ht="15.75" customHeight="1">
      <c r="I37" s="8"/>
      <c r="J37" s="16" t="str">
        <f>RIGHT(A2,2)</f>
        <v>US</v>
      </c>
      <c r="K37" s="6" t="s">
        <v>99</v>
      </c>
      <c r="Q37" t="str">
        <f>LEFT(A37,6)</f>
        <v/>
      </c>
    </row>
    <row r="38" spans="9:17" ht="15.75" customHeight="1">
      <c r="I38" s="8"/>
      <c r="J38" s="15"/>
      <c r="K38" s="15"/>
      <c r="Q38" t="str">
        <f>LEFT(A38,6)</f>
        <v/>
      </c>
    </row>
    <row r="39" spans="9:17" ht="15.75" customHeight="1">
      <c r="I39" s="8"/>
      <c r="J39" s="15"/>
      <c r="K39" s="15"/>
      <c r="Q39" t="str">
        <f>LEFT(A39,6)</f>
        <v/>
      </c>
    </row>
    <row r="40" spans="9:17" ht="15.75" customHeight="1">
      <c r="I40" s="8" t="s">
        <v>66</v>
      </c>
      <c r="J40" s="23" t="s">
        <v>67</v>
      </c>
      <c r="K40" s="15"/>
      <c r="Q40" t="str">
        <f>LEFT(A40,6)</f>
        <v/>
      </c>
    </row>
    <row r="41" spans="9:17" ht="15.75" customHeight="1">
      <c r="I41" s="8"/>
      <c r="J41" s="15"/>
      <c r="K41" s="15"/>
      <c r="Q41" t="str">
        <f>LEFT(A41,6)</f>
        <v/>
      </c>
    </row>
    <row r="42" spans="9:17" ht="15.75" customHeight="1">
      <c r="I42" s="8"/>
      <c r="J42" s="16" t="str">
        <f>CONCATENATE(D2," ",F2)</f>
        <v>Laptop Dell 30</v>
      </c>
      <c r="K42" s="6" t="s">
        <v>143</v>
      </c>
      <c r="Q42" t="str">
        <f>LEFT(A42,6)</f>
        <v/>
      </c>
    </row>
    <row r="43" spans="9:17" ht="15.75" customHeight="1">
      <c r="I43" s="8"/>
      <c r="J43" s="15"/>
      <c r="K43" s="15"/>
      <c r="Q43" t="str">
        <f>LEFT(A43,6)</f>
        <v/>
      </c>
    </row>
    <row r="44" spans="9:17" ht="15.75" customHeight="1">
      <c r="I44" s="15"/>
      <c r="J44" s="15"/>
      <c r="K44" s="15"/>
      <c r="Q44" t="str">
        <f>LEFT(A44,6)</f>
        <v/>
      </c>
    </row>
    <row r="45" spans="9:17" ht="15.75" customHeight="1">
      <c r="I45" s="3" t="s">
        <v>144</v>
      </c>
      <c r="J45" s="3"/>
      <c r="K45" s="3"/>
      <c r="Q45" t="str">
        <f>LEFT(A45,6)</f>
        <v/>
      </c>
    </row>
    <row r="46" spans="9:17" ht="15.75" customHeight="1">
      <c r="I46" s="8" t="s">
        <v>145</v>
      </c>
      <c r="J46" s="16" t="s">
        <v>146</v>
      </c>
      <c r="K46" s="15"/>
      <c r="Q46" t="str">
        <f>LEFT(A46,6)</f>
        <v/>
      </c>
    </row>
    <row r="47" spans="9:17" ht="15.75" customHeight="1">
      <c r="I47" s="11"/>
      <c r="J47" s="15"/>
      <c r="K47" s="6" t="s">
        <v>147</v>
      </c>
      <c r="Q47" t="str">
        <f>LEFT(A47,6)</f>
        <v/>
      </c>
    </row>
    <row r="48" spans="9:17" ht="15.75" customHeight="1">
      <c r="I48" s="11"/>
      <c r="J48" s="15"/>
      <c r="K48" s="15"/>
      <c r="Q48" t="str">
        <f>LEFT(A48,6)</f>
        <v/>
      </c>
    </row>
    <row r="49" spans="9:17" ht="15.75" customHeight="1">
      <c r="I49" s="8" t="s">
        <v>148</v>
      </c>
      <c r="J49" s="15"/>
      <c r="K49" s="15"/>
      <c r="Q49" t="str">
        <f>LEFT(A49,6)</f>
        <v/>
      </c>
    </row>
    <row r="50" spans="9:17" ht="15.75" customHeight="1">
      <c r="I50" s="9"/>
      <c r="J50" s="16" t="s">
        <v>149</v>
      </c>
      <c r="K50" s="6" t="s">
        <v>150</v>
      </c>
      <c r="Q50" t="str">
        <f>LEFT(A50,6)</f>
        <v/>
      </c>
    </row>
    <row r="51" spans="9:17" ht="15.75" customHeight="1">
      <c r="I51" s="9"/>
      <c r="J51" s="15"/>
      <c r="K51" s="15"/>
      <c r="Q51" t="str">
        <f>LEFT(A51,6)</f>
        <v/>
      </c>
    </row>
    <row r="52" spans="9:17" ht="15.75" customHeight="1">
      <c r="I52" s="9"/>
      <c r="J52" s="15"/>
      <c r="K52" s="15"/>
      <c r="Q52" t="str">
        <f>LEFT(A52,6)</f>
        <v/>
      </c>
    </row>
    <row r="53" spans="9:17" ht="15.75" customHeight="1">
      <c r="I53" s="3" t="s">
        <v>151</v>
      </c>
      <c r="J53" s="3"/>
      <c r="K53" s="3"/>
      <c r="Q53" t="str">
        <f>LEFT(A53,6)</f>
        <v/>
      </c>
    </row>
    <row r="54" spans="9:17" ht="15.75" customHeight="1">
      <c r="I54" s="8" t="s">
        <v>152</v>
      </c>
      <c r="J54" s="15"/>
      <c r="K54" s="15"/>
      <c r="Q54" t="str">
        <f>LEFT(A54,6)</f>
        <v/>
      </c>
    </row>
    <row r="55" spans="9:17" ht="15.75" customHeight="1">
      <c r="I55" s="11"/>
      <c r="J55" s="16" t="s">
        <v>153</v>
      </c>
      <c r="K55" s="6" t="s">
        <v>154</v>
      </c>
      <c r="Q55" t="str">
        <f>LEFT(A55,6)</f>
        <v/>
      </c>
    </row>
    <row r="56" spans="9:17" ht="15.75" customHeight="1">
      <c r="I56" s="11"/>
      <c r="J56" s="15"/>
      <c r="K56" s="15"/>
      <c r="Q56" t="str">
        <f>LEFT(A56,6)</f>
        <v/>
      </c>
    </row>
    <row r="57" spans="9:17" ht="15.75" customHeight="1">
      <c r="I57" s="8" t="s">
        <v>155</v>
      </c>
      <c r="J57" s="15"/>
      <c r="K57" s="15"/>
      <c r="Q57" t="str">
        <f>LEFT(A57,6)</f>
        <v/>
      </c>
    </row>
    <row r="58" spans="9:17" ht="15.75" customHeight="1">
      <c r="I58" s="9"/>
      <c r="J58" s="16" t="b">
        <f>$G2="Electronics"</f>
        <v>1</v>
      </c>
      <c r="K58" s="6" t="s">
        <v>156</v>
      </c>
      <c r="Q58" t="str">
        <f>LEFT(A58,6)</f>
        <v/>
      </c>
    </row>
    <row r="59" spans="9:17" ht="15.75" customHeight="1">
      <c r="I59" s="9"/>
      <c r="J59" s="15"/>
      <c r="K59" s="22" t="s">
        <v>157</v>
      </c>
      <c r="Q59" t="str">
        <f>LEFT(A59,6)</f>
        <v/>
      </c>
    </row>
    <row r="60" spans="9:17" ht="15.75" customHeight="1">
      <c r="I60" s="9"/>
      <c r="J60" s="15"/>
      <c r="K60" s="15"/>
      <c r="Q60" t="str">
        <f>LEFT(A60,6)</f>
        <v/>
      </c>
    </row>
    <row r="61" spans="9:17" ht="15.75" customHeight="1">
      <c r="Q61" t="str">
        <f>LEFT(A61,6)</f>
        <v/>
      </c>
    </row>
    <row r="62" spans="9:17" ht="15.75" customHeight="1">
      <c r="Q62" t="str">
        <f>LEFT(A62,6)</f>
        <v/>
      </c>
    </row>
    <row r="63" spans="9:17" ht="15.75" customHeight="1">
      <c r="Q63" t="str">
        <f>LEFT(A63,6)</f>
        <v/>
      </c>
    </row>
    <row r="64" spans="9:17" ht="15.75" customHeight="1">
      <c r="Q64" t="str">
        <f>LEFT(A64,6)</f>
        <v/>
      </c>
    </row>
    <row r="65" spans="17:17" ht="15.75" customHeight="1">
      <c r="Q65" t="str">
        <f>LEFT(A65,6)</f>
        <v/>
      </c>
    </row>
    <row r="66" spans="17:17" ht="15.75" customHeight="1">
      <c r="Q66" t="str">
        <f>LEFT(A66,6)</f>
        <v/>
      </c>
    </row>
    <row r="67" spans="17:17" ht="15.75" customHeight="1">
      <c r="Q67" t="str">
        <f t="shared" ref="Q67:Q130" si="0">LEFT(A67,6)</f>
        <v/>
      </c>
    </row>
    <row r="68" spans="17:17" ht="15.75" customHeight="1">
      <c r="Q68" t="str">
        <f t="shared" si="0"/>
        <v/>
      </c>
    </row>
    <row r="69" spans="17:17" ht="15.75" customHeight="1">
      <c r="Q69" t="str">
        <f t="shared" si="0"/>
        <v/>
      </c>
    </row>
    <row r="70" spans="17:17" ht="15.75" customHeight="1">
      <c r="Q70" t="str">
        <f t="shared" si="0"/>
        <v/>
      </c>
    </row>
    <row r="71" spans="17:17" ht="15.75" customHeight="1">
      <c r="Q71" t="str">
        <f t="shared" si="0"/>
        <v/>
      </c>
    </row>
    <row r="72" spans="17:17" ht="15.75" customHeight="1">
      <c r="Q72" t="str">
        <f t="shared" si="0"/>
        <v/>
      </c>
    </row>
    <row r="73" spans="17:17" ht="15.75" customHeight="1">
      <c r="Q73" t="str">
        <f t="shared" si="0"/>
        <v/>
      </c>
    </row>
    <row r="74" spans="17:17" ht="15.75" customHeight="1">
      <c r="Q74" t="str">
        <f t="shared" si="0"/>
        <v/>
      </c>
    </row>
    <row r="75" spans="17:17" ht="15.75" customHeight="1">
      <c r="Q75" t="str">
        <f t="shared" si="0"/>
        <v/>
      </c>
    </row>
    <row r="76" spans="17:17" ht="15.75" customHeight="1">
      <c r="Q76" t="str">
        <f t="shared" si="0"/>
        <v/>
      </c>
    </row>
    <row r="77" spans="17:17" ht="15.75" customHeight="1">
      <c r="Q77" t="str">
        <f t="shared" si="0"/>
        <v/>
      </c>
    </row>
    <row r="78" spans="17:17" ht="15.75" customHeight="1">
      <c r="Q78" t="str">
        <f t="shared" si="0"/>
        <v/>
      </c>
    </row>
    <row r="79" spans="17:17" ht="15.75" customHeight="1">
      <c r="Q79" t="str">
        <f t="shared" si="0"/>
        <v/>
      </c>
    </row>
    <row r="80" spans="17:17" ht="15.75" customHeight="1">
      <c r="Q80" t="str">
        <f t="shared" si="0"/>
        <v/>
      </c>
    </row>
    <row r="81" spans="17:17" ht="15.75" customHeight="1">
      <c r="Q81" t="str">
        <f t="shared" si="0"/>
        <v/>
      </c>
    </row>
    <row r="82" spans="17:17" ht="15.75" customHeight="1">
      <c r="Q82" t="str">
        <f t="shared" si="0"/>
        <v/>
      </c>
    </row>
    <row r="83" spans="17:17" ht="15.75" customHeight="1">
      <c r="Q83" t="str">
        <f t="shared" si="0"/>
        <v/>
      </c>
    </row>
    <row r="84" spans="17:17" ht="15.75" customHeight="1">
      <c r="Q84" t="str">
        <f t="shared" si="0"/>
        <v/>
      </c>
    </row>
    <row r="85" spans="17:17" ht="15.75" customHeight="1">
      <c r="Q85" t="str">
        <f t="shared" si="0"/>
        <v/>
      </c>
    </row>
    <row r="86" spans="17:17" ht="15.75" customHeight="1">
      <c r="Q86" t="str">
        <f t="shared" si="0"/>
        <v/>
      </c>
    </row>
    <row r="87" spans="17:17" ht="15.75" customHeight="1">
      <c r="Q87" t="str">
        <f t="shared" si="0"/>
        <v/>
      </c>
    </row>
    <row r="88" spans="17:17" ht="15.75" customHeight="1">
      <c r="Q88" t="str">
        <f t="shared" si="0"/>
        <v/>
      </c>
    </row>
    <row r="89" spans="17:17" ht="15.75" customHeight="1">
      <c r="Q89" t="str">
        <f t="shared" si="0"/>
        <v/>
      </c>
    </row>
    <row r="90" spans="17:17" ht="15.75" customHeight="1">
      <c r="Q90" t="str">
        <f t="shared" si="0"/>
        <v/>
      </c>
    </row>
    <row r="91" spans="17:17" ht="15.75" customHeight="1">
      <c r="Q91" t="str">
        <f t="shared" si="0"/>
        <v/>
      </c>
    </row>
    <row r="92" spans="17:17" ht="15.75" customHeight="1">
      <c r="Q92" t="str">
        <f t="shared" si="0"/>
        <v/>
      </c>
    </row>
    <row r="93" spans="17:17" ht="15.75" customHeight="1">
      <c r="Q93" t="str">
        <f t="shared" si="0"/>
        <v/>
      </c>
    </row>
    <row r="94" spans="17:17" ht="15.75" customHeight="1">
      <c r="Q94" t="str">
        <f t="shared" si="0"/>
        <v/>
      </c>
    </row>
    <row r="95" spans="17:17" ht="15.75" customHeight="1">
      <c r="Q95" t="str">
        <f t="shared" si="0"/>
        <v/>
      </c>
    </row>
    <row r="96" spans="17:17" ht="15.75" customHeight="1">
      <c r="Q96" t="str">
        <f t="shared" si="0"/>
        <v/>
      </c>
    </row>
    <row r="97" spans="17:17" ht="15.75" customHeight="1">
      <c r="Q97" t="str">
        <f t="shared" si="0"/>
        <v/>
      </c>
    </row>
    <row r="98" spans="17:17" ht="15.75" customHeight="1">
      <c r="Q98" t="str">
        <f t="shared" si="0"/>
        <v/>
      </c>
    </row>
    <row r="99" spans="17:17" ht="15.75" customHeight="1">
      <c r="Q99" t="str">
        <f t="shared" si="0"/>
        <v/>
      </c>
    </row>
    <row r="100" spans="17:17" ht="15.75" customHeight="1">
      <c r="Q100" t="str">
        <f t="shared" si="0"/>
        <v/>
      </c>
    </row>
    <row r="101" spans="17:17" ht="15.75" customHeight="1">
      <c r="Q101" t="str">
        <f t="shared" si="0"/>
        <v/>
      </c>
    </row>
    <row r="102" spans="17:17" ht="15.75" customHeight="1">
      <c r="Q102" t="str">
        <f t="shared" si="0"/>
        <v/>
      </c>
    </row>
    <row r="103" spans="17:17" ht="15.75" customHeight="1">
      <c r="Q103" t="str">
        <f t="shared" si="0"/>
        <v/>
      </c>
    </row>
    <row r="104" spans="17:17" ht="15.75" customHeight="1">
      <c r="Q104" t="str">
        <f t="shared" si="0"/>
        <v/>
      </c>
    </row>
    <row r="105" spans="17:17" ht="15.75" customHeight="1">
      <c r="Q105" t="str">
        <f t="shared" si="0"/>
        <v/>
      </c>
    </row>
    <row r="106" spans="17:17" ht="15.75" customHeight="1">
      <c r="Q106" t="str">
        <f t="shared" si="0"/>
        <v/>
      </c>
    </row>
    <row r="107" spans="17:17" ht="15.75" customHeight="1">
      <c r="Q107" t="str">
        <f t="shared" si="0"/>
        <v/>
      </c>
    </row>
    <row r="108" spans="17:17" ht="15.75" customHeight="1">
      <c r="Q108" t="str">
        <f t="shared" si="0"/>
        <v/>
      </c>
    </row>
    <row r="109" spans="17:17" ht="15.75" customHeight="1">
      <c r="Q109" t="str">
        <f t="shared" si="0"/>
        <v/>
      </c>
    </row>
    <row r="110" spans="17:17" ht="15.75" customHeight="1">
      <c r="Q110" t="str">
        <f t="shared" si="0"/>
        <v/>
      </c>
    </row>
    <row r="111" spans="17:17" ht="15.75" customHeight="1">
      <c r="Q111" t="str">
        <f t="shared" si="0"/>
        <v/>
      </c>
    </row>
    <row r="112" spans="17:17" ht="15.75" customHeight="1">
      <c r="Q112" t="str">
        <f t="shared" si="0"/>
        <v/>
      </c>
    </row>
    <row r="113" spans="17:17" ht="15.75" customHeight="1">
      <c r="Q113" t="str">
        <f t="shared" si="0"/>
        <v/>
      </c>
    </row>
    <row r="114" spans="17:17" ht="15.75" customHeight="1">
      <c r="Q114" t="str">
        <f t="shared" si="0"/>
        <v/>
      </c>
    </row>
    <row r="115" spans="17:17" ht="15.75" customHeight="1">
      <c r="Q115" t="str">
        <f t="shared" si="0"/>
        <v/>
      </c>
    </row>
    <row r="116" spans="17:17" ht="15.75" customHeight="1">
      <c r="Q116" t="str">
        <f t="shared" si="0"/>
        <v/>
      </c>
    </row>
    <row r="117" spans="17:17" ht="15.75" customHeight="1">
      <c r="Q117" t="str">
        <f t="shared" si="0"/>
        <v/>
      </c>
    </row>
    <row r="118" spans="17:17" ht="15.75" customHeight="1">
      <c r="Q118" t="str">
        <f t="shared" si="0"/>
        <v/>
      </c>
    </row>
    <row r="119" spans="17:17" ht="15.75" customHeight="1">
      <c r="Q119" t="str">
        <f t="shared" si="0"/>
        <v/>
      </c>
    </row>
    <row r="120" spans="17:17" ht="15.75" customHeight="1">
      <c r="Q120" t="str">
        <f t="shared" si="0"/>
        <v/>
      </c>
    </row>
    <row r="121" spans="17:17" ht="15.75" customHeight="1">
      <c r="Q121" t="str">
        <f t="shared" si="0"/>
        <v/>
      </c>
    </row>
    <row r="122" spans="17:17" ht="15.75" customHeight="1">
      <c r="Q122" t="str">
        <f t="shared" si="0"/>
        <v/>
      </c>
    </row>
    <row r="123" spans="17:17" ht="15.75" customHeight="1">
      <c r="Q123" t="str">
        <f t="shared" si="0"/>
        <v/>
      </c>
    </row>
    <row r="124" spans="17:17" ht="15.75" customHeight="1">
      <c r="Q124" t="str">
        <f t="shared" si="0"/>
        <v/>
      </c>
    </row>
    <row r="125" spans="17:17" ht="15.75" customHeight="1">
      <c r="Q125" t="str">
        <f t="shared" si="0"/>
        <v/>
      </c>
    </row>
    <row r="126" spans="17:17" ht="15.75" customHeight="1">
      <c r="Q126" t="str">
        <f t="shared" si="0"/>
        <v/>
      </c>
    </row>
    <row r="127" spans="17:17" ht="15.75" customHeight="1">
      <c r="Q127" t="str">
        <f t="shared" si="0"/>
        <v/>
      </c>
    </row>
    <row r="128" spans="17:17" ht="15.75" customHeight="1">
      <c r="Q128" t="str">
        <f t="shared" si="0"/>
        <v/>
      </c>
    </row>
    <row r="129" spans="17:17" ht="15.75" customHeight="1">
      <c r="Q129" t="str">
        <f t="shared" si="0"/>
        <v/>
      </c>
    </row>
    <row r="130" spans="17:17" ht="15.75" customHeight="1">
      <c r="Q130" t="str">
        <f t="shared" si="0"/>
        <v/>
      </c>
    </row>
    <row r="131" spans="17:17" ht="15.75" customHeight="1">
      <c r="Q131" t="str">
        <f t="shared" ref="Q131:Q160" si="1">LEFT(A131,6)</f>
        <v/>
      </c>
    </row>
    <row r="132" spans="17:17" ht="15.75" customHeight="1">
      <c r="Q132" t="str">
        <f t="shared" si="1"/>
        <v/>
      </c>
    </row>
    <row r="133" spans="17:17" ht="15.75" customHeight="1">
      <c r="Q133" t="str">
        <f t="shared" si="1"/>
        <v/>
      </c>
    </row>
    <row r="134" spans="17:17" ht="15.75" customHeight="1">
      <c r="Q134" t="str">
        <f t="shared" si="1"/>
        <v/>
      </c>
    </row>
    <row r="135" spans="17:17" ht="15.75" customHeight="1">
      <c r="Q135" t="str">
        <f t="shared" si="1"/>
        <v/>
      </c>
    </row>
    <row r="136" spans="17:17" ht="15.75" customHeight="1">
      <c r="Q136" t="str">
        <f t="shared" si="1"/>
        <v/>
      </c>
    </row>
    <row r="137" spans="17:17" ht="15.75" customHeight="1">
      <c r="Q137" t="str">
        <f t="shared" si="1"/>
        <v/>
      </c>
    </row>
    <row r="138" spans="17:17" ht="15.75" customHeight="1">
      <c r="Q138" t="str">
        <f t="shared" si="1"/>
        <v/>
      </c>
    </row>
    <row r="139" spans="17:17" ht="15.75" customHeight="1">
      <c r="Q139" t="str">
        <f t="shared" si="1"/>
        <v/>
      </c>
    </row>
    <row r="140" spans="17:17" ht="15.75" customHeight="1">
      <c r="Q140" t="str">
        <f t="shared" si="1"/>
        <v/>
      </c>
    </row>
    <row r="141" spans="17:17" ht="15.75" customHeight="1">
      <c r="Q141" t="str">
        <f t="shared" si="1"/>
        <v/>
      </c>
    </row>
    <row r="142" spans="17:17" ht="15.75" customHeight="1">
      <c r="Q142" t="str">
        <f t="shared" si="1"/>
        <v/>
      </c>
    </row>
    <row r="143" spans="17:17" ht="15.75" customHeight="1">
      <c r="Q143" t="str">
        <f t="shared" si="1"/>
        <v/>
      </c>
    </row>
    <row r="144" spans="17:17" ht="15.75" customHeight="1">
      <c r="Q144" t="str">
        <f t="shared" si="1"/>
        <v/>
      </c>
    </row>
    <row r="145" spans="17:17" ht="15.75" customHeight="1">
      <c r="Q145" t="str">
        <f t="shared" si="1"/>
        <v/>
      </c>
    </row>
    <row r="146" spans="17:17" ht="15.75" customHeight="1">
      <c r="Q146" t="str">
        <f t="shared" si="1"/>
        <v/>
      </c>
    </row>
    <row r="147" spans="17:17" ht="15.75" customHeight="1">
      <c r="Q147" t="str">
        <f t="shared" si="1"/>
        <v/>
      </c>
    </row>
    <row r="148" spans="17:17" ht="15.75" customHeight="1">
      <c r="Q148" t="str">
        <f t="shared" si="1"/>
        <v/>
      </c>
    </row>
    <row r="149" spans="17:17" ht="15.75" customHeight="1">
      <c r="Q149" t="str">
        <f t="shared" si="1"/>
        <v/>
      </c>
    </row>
    <row r="150" spans="17:17" ht="15.75" customHeight="1">
      <c r="Q150" t="str">
        <f t="shared" si="1"/>
        <v/>
      </c>
    </row>
    <row r="151" spans="17:17" ht="15.75" customHeight="1">
      <c r="Q151" t="str">
        <f t="shared" si="1"/>
        <v/>
      </c>
    </row>
    <row r="152" spans="17:17" ht="15.75" customHeight="1">
      <c r="Q152" t="str">
        <f t="shared" si="1"/>
        <v/>
      </c>
    </row>
    <row r="153" spans="17:17" ht="15.75" customHeight="1">
      <c r="Q153" t="str">
        <f t="shared" si="1"/>
        <v/>
      </c>
    </row>
    <row r="154" spans="17:17" ht="15.75" customHeight="1">
      <c r="Q154" t="str">
        <f t="shared" si="1"/>
        <v/>
      </c>
    </row>
    <row r="155" spans="17:17" ht="15.75" customHeight="1">
      <c r="Q155" t="str">
        <f t="shared" si="1"/>
        <v/>
      </c>
    </row>
    <row r="156" spans="17:17" ht="15.75" customHeight="1">
      <c r="Q156" t="str">
        <f t="shared" si="1"/>
        <v/>
      </c>
    </row>
    <row r="157" spans="17:17" ht="15.75" customHeight="1">
      <c r="Q157" t="str">
        <f t="shared" si="1"/>
        <v/>
      </c>
    </row>
    <row r="158" spans="17:17" ht="15.75" customHeight="1">
      <c r="Q158" t="str">
        <f t="shared" si="1"/>
        <v/>
      </c>
    </row>
    <row r="159" spans="17:17" ht="15.75" customHeight="1">
      <c r="Q159" t="str">
        <f t="shared" si="1"/>
        <v/>
      </c>
    </row>
    <row r="160" spans="17:17" ht="15.75" customHeight="1">
      <c r="Q160" t="str">
        <f t="shared" si="1"/>
        <v/>
      </c>
    </row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I57:I60"/>
    <mergeCell ref="I45:K45"/>
    <mergeCell ref="I46:I48"/>
    <mergeCell ref="I49:I52"/>
    <mergeCell ref="I53:K53"/>
    <mergeCell ref="I54:I56"/>
    <mergeCell ref="I40:I43"/>
    <mergeCell ref="I30:I39"/>
    <mergeCell ref="I17:I21"/>
    <mergeCell ref="I23:K23"/>
    <mergeCell ref="I24:I27"/>
    <mergeCell ref="I29:K29"/>
    <mergeCell ref="I1:K1"/>
    <mergeCell ref="I3:I6"/>
    <mergeCell ref="I8:I11"/>
    <mergeCell ref="I12:K12"/>
    <mergeCell ref="I13:I16"/>
  </mergeCells>
  <conditionalFormatting sqref="J3">
    <cfRule type="containsText" dxfId="12" priority="8" operator="containsText" text="Electronics">
      <formula>NOT(ISERROR(SEARCH("Electronics",J3)))</formula>
    </cfRule>
  </conditionalFormatting>
  <conditionalFormatting sqref="J7">
    <cfRule type="containsText" dxfId="11" priority="7" operator="containsText" text="Electronics">
      <formula>NOT(ISERROR(SEARCH("Electronics",J7)))</formula>
    </cfRule>
  </conditionalFormatting>
  <conditionalFormatting sqref="J13">
    <cfRule type="containsText" dxfId="10" priority="6" operator="containsText" text="Electronics">
      <formula>NOT(ISERROR(SEARCH("Electronics",J13)))</formula>
    </cfRule>
  </conditionalFormatting>
  <conditionalFormatting sqref="J30">
    <cfRule type="containsText" dxfId="9" priority="5" operator="containsText" text="Electronics">
      <formula>NOT(ISERROR(SEARCH("Electronics",J30)))</formula>
    </cfRule>
  </conditionalFormatting>
  <conditionalFormatting sqref="J35">
    <cfRule type="containsText" dxfId="8" priority="4" operator="containsText" text="Electronics">
      <formula>NOT(ISERROR(SEARCH("Electronics",J35)))</formula>
    </cfRule>
  </conditionalFormatting>
  <conditionalFormatting sqref="J40">
    <cfRule type="containsText" dxfId="7" priority="3" operator="containsText" text="Electronics">
      <formula>NOT(ISERROR(SEARCH("Electronics",J40)))</formula>
    </cfRule>
  </conditionalFormatting>
  <conditionalFormatting sqref="E1:E32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{D743A38A-D9A7-4F17-966F-59708FC795B9}</x14:id>
        </ext>
      </extLst>
    </cfRule>
  </conditionalFormatting>
  <conditionalFormatting sqref="G1:G32">
    <cfRule type="containsText" dxfId="0" priority="1" operator="containsText" text="Electronics">
      <formula>NOT(ISERROR(SEARCH("Electronics",G1)))</formula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43A38A-D9A7-4F17-966F-59708FC795B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E1:E32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 A</cp:lastModifiedBy>
  <dcterms:created xsi:type="dcterms:W3CDTF">2026-07-23T14:43:37Z</dcterms:created>
  <dcterms:modified xsi:type="dcterms:W3CDTF">2026-10-05T18:52:44Z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