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6a6ca6168532d54/Pictures/"/>
    </mc:Choice>
  </mc:AlternateContent>
  <xr:revisionPtr revIDLastSave="590" documentId="11_6E623FD8ECE4F609B1AC7BCCA7290F54B1BFD786" xr6:coauthVersionLast="47" xr6:coauthVersionMax="47" xr10:uidLastSave="{55B7A079-0D35-4750-B61C-57D06BB9E72F}"/>
  <bookViews>
    <workbookView xWindow="-108" yWindow="-108" windowWidth="23256" windowHeight="1245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4" i="2" l="1"/>
  <c r="Q2" i="2"/>
  <c r="Q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39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U37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V4" i="2"/>
  <c r="U4" i="2"/>
  <c r="G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1" i="2"/>
  <c r="Q35" i="2"/>
  <c r="M74" i="2"/>
  <c r="M75" i="2"/>
  <c r="M76" i="2"/>
  <c r="M77" i="2"/>
  <c r="M78" i="2"/>
  <c r="M79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I66" i="2"/>
  <c r="I67" i="2"/>
  <c r="I68" i="2"/>
  <c r="I69" i="2"/>
  <c r="I70" i="2"/>
  <c r="I71" i="2"/>
  <c r="I72" i="2"/>
  <c r="I63" i="2"/>
  <c r="I64" i="2"/>
  <c r="I65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39" i="2"/>
  <c r="I4" i="2"/>
</calcChain>
</file>

<file path=xl/sharedStrings.xml><?xml version="1.0" encoding="utf-8"?>
<sst xmlns="http://schemas.openxmlformats.org/spreadsheetml/2006/main" count="177" uniqueCount="126">
  <si>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</si>
  <si>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</si>
  <si>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</si>
  <si>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</si>
  <si>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</si>
  <si>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</si>
  <si>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</si>
  <si>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</si>
  <si>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</si>
  <si>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</si>
  <si>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</si>
  <si>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</si>
  <si>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</si>
  <si>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</si>
  <si>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</si>
  <si>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</si>
  <si>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</si>
  <si>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</si>
  <si>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</si>
  <si>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</si>
  <si>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</si>
  <si>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</si>
  <si>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</si>
  <si>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</si>
  <si>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</si>
  <si>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</si>
  <si>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</si>
  <si>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</si>
  <si>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</si>
  <si>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</si>
  <si>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</si>
  <si>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</si>
  <si>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</si>
  <si>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</si>
  <si>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</si>
  <si>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</si>
  <si>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</si>
  <si>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</si>
  <si>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</si>
  <si>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</si>
  <si>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</si>
  <si>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</si>
  <si>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</si>
  <si>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</si>
  <si>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</si>
  <si>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</si>
  <si>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</si>
  <si>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</si>
  <si>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</si>
  <si>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</si>
  <si>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</si>
  <si>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</si>
  <si>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</si>
  <si>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</si>
  <si>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</si>
  <si>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</si>
  <si>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</si>
  <si>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</si>
  <si>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</si>
  <si>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</si>
  <si>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</si>
  <si>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</si>
  <si>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</si>
  <si>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</si>
  <si>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</si>
  <si>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</si>
  <si>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</si>
  <si>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</si>
  <si>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</si>
  <si>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</si>
  <si>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</si>
  <si>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</si>
  <si>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</si>
  <si>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</si>
  <si>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</si>
  <si>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</si>
  <si>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</si>
  <si>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</si>
  <si>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</si>
  <si>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</si>
  <si>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</si>
  <si>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</si>
  <si>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</si>
  <si>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</si>
  <si>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</si>
  <si>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</si>
  <si>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</si>
  <si>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</si>
  <si>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</si>
  <si>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</si>
  <si>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</si>
  <si>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</si>
  <si>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</si>
  <si>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</si>
  <si>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</si>
  <si>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</si>
  <si>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</si>
  <si>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Handling Missing Values</t>
  </si>
  <si>
    <t>Question</t>
  </si>
  <si>
    <t>Formulas</t>
  </si>
  <si>
    <t>Formulas Used</t>
  </si>
  <si>
    <t>Imputed Price</t>
  </si>
  <si>
    <t>Check for missing values in the 'Price' column. How would you handle products with missing price information?</t>
  </si>
  <si>
    <t>IF(D2="",AVERAGE($D$2:$D$35),D2)</t>
  </si>
  <si>
    <t>If there are products with missing categories, propose a strategy to impute or deal with these missing values effectively.</t>
  </si>
  <si>
    <t xml:space="preserve"> Imputed Category</t>
  </si>
  <si>
    <t>IF(F2="","UNKNOWN",F2)</t>
  </si>
  <si>
    <t>Correcting Inconsistent Data</t>
  </si>
  <si>
    <t>Identify any inconsistent text formats present in the "Product Name" column.</t>
  </si>
  <si>
    <t>PROPER(TRIM(CLEAN(B2)))</t>
  </si>
  <si>
    <t>IF(F2="","",SUBSTITUTE(F2,"ELECTRONI","ELECTRONICS")</t>
  </si>
  <si>
    <t>Removing Duplicates</t>
  </si>
  <si>
    <t>Identify any duplicate rows within the dataset based on the entirety of each row, and remove them if any.</t>
  </si>
  <si>
    <t>=COUNTIFS(A:A,A2,B:B,B2,C:C,C2,D:D,D2,E:E,E2,F:F,F2)</t>
  </si>
  <si>
    <t>COUNTIFS(A:A,A2,B:B,B2,C:C,C2,D:D,D2,E:E,E2,F:F,F2)</t>
  </si>
  <si>
    <t>Splitting and Merging Data</t>
  </si>
  <si>
    <t>Split the "Product ID" column into two separate columns for " Manufacturing Date" and "Country Code". Remove unnecessary characters, if any.</t>
  </si>
  <si>
    <t xml:space="preserve"> Manufacturing Date</t>
  </si>
  <si>
    <t>Country Code</t>
  </si>
  <si>
    <t>RIGHT(A2,2)</t>
  </si>
  <si>
    <t>DATE(2026,MONTH(DATEVALUE("1-"&amp;MID(A2,4,3))),VALUE(LEFT(A2,2)))</t>
  </si>
  <si>
    <t>Product Brand</t>
  </si>
  <si>
    <t>C2&amp;" "&amp;B2</t>
  </si>
  <si>
    <t>Merge the "Brand Name" and "Product Name" columns into one column named "Product Brand".</t>
  </si>
  <si>
    <t>Duplicate Identification</t>
  </si>
  <si>
    <t>● Identify any typos present in the "Category" column.
● Use the find and replace function to standardize the text formats in the "Product Name" column and fix any typos or misspellings in the "Category"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</si>
</sst>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3" formatCode="[$$-2809]#,##0.00"/>
  </numFmts>
  <fonts count="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2"/>
      <color theme="1"/>
      <name val="Times New Roman"/>
      <charset val="134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rgb="FF4DD0E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NumberFormat="1" applyFont="1"/>
    <xf numFmtId="0" fontId="2" fillId="3" borderId="0" xfId="0" applyNumberFormat="1" applyFont="1" applyFill="1"/>
    <xf numFmtId="0" fontId="4" fillId="0" borderId="0" xfId="0" applyFont="1"/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vertical="center"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Border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73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firstColumnStripe" dxfId="32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topLeftCell="S37" zoomScale="88" zoomScaleNormal="65" workbookViewId="0">
      <selection activeCell="N41" sqref="N41:N44"/>
    </sheetView>
  </sheetViews>
  <sheetFormatPr defaultColWidth="12.6640625" defaultRowHeight="15" customHeight="1"/>
  <cols>
    <col min="1" max="6" width="12.6640625" customWidth="1"/>
    <col min="8" max="8" width="54.21875" customWidth="1"/>
    <col min="9" max="9" width="28.6640625" customWidth="1"/>
    <col min="10" max="10" width="47.88671875" customWidth="1"/>
    <col min="12" max="12" width="52.5546875" customWidth="1"/>
    <col min="13" max="13" width="44.109375" customWidth="1"/>
    <col min="14" max="14" width="42.5546875" customWidth="1"/>
    <col min="15" max="15" width="28.6640625" customWidth="1"/>
    <col min="16" max="16" width="55.88671875" customWidth="1"/>
    <col min="17" max="17" width="18.5546875" customWidth="1"/>
    <col min="18" max="18" width="52.44140625" customWidth="1"/>
    <col min="20" max="20" width="50.88671875" customWidth="1"/>
    <col min="21" max="21" width="35.6640625" customWidth="1"/>
    <col min="22" max="22" width="40.6640625" customWidth="1"/>
    <col min="23" max="23" width="44.21875" customWidth="1"/>
    <col min="25" max="25" width="43.44140625" customWidth="1"/>
    <col min="26" max="26" width="37.6640625" customWidth="1"/>
    <col min="27" max="27" width="44.109375" customWidth="1"/>
  </cols>
  <sheetData>
    <row r="1" spans="1:23" ht="15.75" customHeight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H1" s="38" t="s">
        <v>97</v>
      </c>
      <c r="I1" s="38"/>
      <c r="J1" s="38"/>
      <c r="L1" s="41" t="s">
        <v>107</v>
      </c>
      <c r="M1" s="41"/>
      <c r="N1" s="41"/>
      <c r="P1" s="16" t="s">
        <v>125</v>
      </c>
      <c r="Q1" s="14" t="str">
        <f>IF(F2="","",SUBSTITUTE(F2,"Electroni","Electronics"))</f>
        <v>Electronicscs</v>
      </c>
      <c r="R1" s="14"/>
      <c r="T1" s="41" t="s">
        <v>115</v>
      </c>
      <c r="U1" s="41"/>
      <c r="V1" s="41"/>
      <c r="W1" s="41"/>
    </row>
    <row r="2" spans="1:23" ht="15.75" customHeight="1">
      <c r="A2" s="4" t="s">
        <v>6</v>
      </c>
      <c r="B2" s="2" t="s">
        <v>7</v>
      </c>
      <c r="C2" s="2" t="s">
        <v>8</v>
      </c>
      <c r="D2" s="4">
        <v>1000</v>
      </c>
      <c r="E2" s="2">
        <v>30</v>
      </c>
      <c r="F2" s="4" t="s">
        <v>9</v>
      </c>
      <c r="H2" s="39" t="s">
        <v>98</v>
      </c>
      <c r="I2" s="39" t="s">
        <v>99</v>
      </c>
      <c r="J2" s="39" t="s">
        <v>100</v>
      </c>
      <c r="L2" s="42" t="s">
        <v>98</v>
      </c>
      <c r="M2" s="42" t="s">
        <v>99</v>
      </c>
      <c r="N2" s="42" t="s">
        <v>100</v>
      </c>
      <c r="P2" s="11"/>
      <c r="Q2" s="14" t="str">
        <f t="shared" ref="Q2:Q3" si="0">IF(F3="","",SUBSTITUTE(F3,"Electroni","Electronics"))</f>
        <v>Fashion</v>
      </c>
      <c r="R2" s="14"/>
      <c r="T2" s="42" t="s">
        <v>98</v>
      </c>
      <c r="U2" s="44" t="s">
        <v>99</v>
      </c>
      <c r="V2" s="44"/>
      <c r="W2" s="42" t="s">
        <v>100</v>
      </c>
    </row>
    <row r="3" spans="1:23" ht="15.75" customHeight="1">
      <c r="A3" s="5" t="s">
        <v>10</v>
      </c>
      <c r="B3" s="3" t="s">
        <v>11</v>
      </c>
      <c r="C3" s="3" t="s">
        <v>12</v>
      </c>
      <c r="D3" s="5">
        <v>80</v>
      </c>
      <c r="E3" s="3">
        <v>15</v>
      </c>
      <c r="F3" s="5" t="s">
        <v>13</v>
      </c>
      <c r="G3" t="str">
        <f>RIGHT(A2,2)</f>
        <v>US</v>
      </c>
      <c r="H3" s="16" t="s">
        <v>102</v>
      </c>
      <c r="I3" s="40" t="s">
        <v>101</v>
      </c>
      <c r="J3" s="33"/>
      <c r="K3" s="2"/>
      <c r="L3" s="11" t="s">
        <v>108</v>
      </c>
      <c r="M3" s="43" t="s">
        <v>1</v>
      </c>
      <c r="N3" s="12"/>
      <c r="O3" s="2"/>
      <c r="P3" s="11"/>
      <c r="Q3" s="14" t="str">
        <f t="shared" si="0"/>
        <v>Kitchen</v>
      </c>
      <c r="R3" s="14"/>
      <c r="T3" s="11" t="s">
        <v>116</v>
      </c>
      <c r="U3" s="43" t="s">
        <v>117</v>
      </c>
      <c r="V3" s="43" t="s">
        <v>118</v>
      </c>
      <c r="W3" s="14"/>
    </row>
    <row r="4" spans="1:23" ht="15.75" customHeight="1">
      <c r="A4" s="4" t="s">
        <v>14</v>
      </c>
      <c r="B4" s="2" t="s">
        <v>15</v>
      </c>
      <c r="C4" s="2" t="s">
        <v>16</v>
      </c>
      <c r="D4" s="4">
        <v>130</v>
      </c>
      <c r="E4" s="2">
        <v>40</v>
      </c>
      <c r="F4" s="4" t="s">
        <v>17</v>
      </c>
      <c r="H4" s="16"/>
      <c r="I4" s="34">
        <f>IF(D2="",AVERAGE($D$2:$D$35),D2)</f>
        <v>1000</v>
      </c>
      <c r="J4" s="35"/>
      <c r="K4" s="2"/>
      <c r="L4" s="11"/>
      <c r="M4" s="13" t="str">
        <f>PROPER(TRIM(CLEAN(B2)))</f>
        <v>Laptop</v>
      </c>
      <c r="N4" s="12"/>
      <c r="O4" s="2"/>
      <c r="P4" s="11"/>
      <c r="Q4" s="14" t="str">
        <f t="shared" ref="Q2:Q34" si="1">IF(F5="","",SUBSTITUTE(F5,"Electroni","Electronics"))</f>
        <v>Electronicscs</v>
      </c>
      <c r="R4" s="14"/>
      <c r="T4" s="11"/>
      <c r="U4" s="24">
        <f>DATE(2026,MONTH(DATEVALUE("1-"&amp;MID(A2,4,3))),VALUE(LEFT(A2,2)))</f>
        <v>46050</v>
      </c>
      <c r="V4" s="25" t="str">
        <f>RIGHT(A2,2)</f>
        <v>US</v>
      </c>
      <c r="W4" s="14"/>
    </row>
    <row r="5" spans="1:23" ht="15.75" customHeight="1">
      <c r="A5" s="5" t="s">
        <v>18</v>
      </c>
      <c r="B5" s="3" t="s">
        <v>19</v>
      </c>
      <c r="C5" s="3" t="s">
        <v>20</v>
      </c>
      <c r="D5" s="5">
        <v>900</v>
      </c>
      <c r="E5" s="3">
        <v>25</v>
      </c>
      <c r="F5" s="5" t="s">
        <v>9</v>
      </c>
      <c r="H5" s="16"/>
      <c r="I5" s="34">
        <f t="shared" ref="I5:I37" si="2">IF(D3="",AVERAGE($D$2:$D$35),D3)</f>
        <v>80</v>
      </c>
      <c r="J5" s="35"/>
      <c r="K5" s="2"/>
      <c r="L5" s="11"/>
      <c r="M5" s="13" t="str">
        <f>PROPER(TRIM(CLEAN(B3)))</f>
        <v>Sneakers</v>
      </c>
      <c r="N5" s="12"/>
      <c r="O5" s="2"/>
      <c r="P5" s="11"/>
      <c r="Q5" s="14" t="str">
        <f t="shared" si="1"/>
        <v/>
      </c>
      <c r="R5" s="14"/>
      <c r="T5" s="11"/>
      <c r="U5" s="24">
        <f t="shared" ref="U5:U38" si="3">DATE(2026,MONTH(DATEVALUE("1-"&amp;MID(A3,4,3))),VALUE(LEFT(A3,2)))</f>
        <v>46068</v>
      </c>
      <c r="V5" s="25" t="str">
        <f t="shared" ref="V5:V37" si="4">RIGHT(A3,2)</f>
        <v>US</v>
      </c>
      <c r="W5" s="14"/>
    </row>
    <row r="6" spans="1:23" ht="15.75" customHeight="1">
      <c r="A6" s="4" t="s">
        <v>21</v>
      </c>
      <c r="B6" s="2" t="s">
        <v>22</v>
      </c>
      <c r="C6" s="2" t="s">
        <v>23</v>
      </c>
      <c r="D6" s="4">
        <v>70</v>
      </c>
      <c r="E6" s="2">
        <v>20</v>
      </c>
      <c r="F6" s="4"/>
      <c r="H6" s="16"/>
      <c r="I6" s="34">
        <f t="shared" si="2"/>
        <v>130</v>
      </c>
      <c r="J6" s="36"/>
      <c r="L6" s="11"/>
      <c r="M6" s="13" t="str">
        <f>PROPER(TRIM(CLEAN(B4)))</f>
        <v>Coffee Maker</v>
      </c>
      <c r="N6" s="14"/>
      <c r="P6" s="11"/>
      <c r="Q6" s="14" t="str">
        <f t="shared" si="1"/>
        <v>Electronics</v>
      </c>
      <c r="R6" s="14"/>
      <c r="T6" s="11"/>
      <c r="U6" s="24">
        <f t="shared" si="3"/>
        <v>46084</v>
      </c>
      <c r="V6" s="25" t="str">
        <f t="shared" si="4"/>
        <v>US</v>
      </c>
      <c r="W6" s="14"/>
    </row>
    <row r="7" spans="1:23" ht="15.75" customHeight="1">
      <c r="A7" s="5" t="s">
        <v>24</v>
      </c>
      <c r="B7" s="3" t="s">
        <v>25</v>
      </c>
      <c r="C7" s="3" t="s">
        <v>26</v>
      </c>
      <c r="D7" s="5"/>
      <c r="E7" s="3">
        <v>45</v>
      </c>
      <c r="F7" s="5" t="s">
        <v>27</v>
      </c>
      <c r="H7" s="16"/>
      <c r="I7" s="34">
        <f t="shared" si="2"/>
        <v>900</v>
      </c>
      <c r="J7" s="36"/>
      <c r="L7" s="11"/>
      <c r="M7" s="13" t="str">
        <f>PROPER(TRIM(CLEAN(B5)))</f>
        <v>Smartphone</v>
      </c>
      <c r="N7" s="14"/>
      <c r="P7" s="11"/>
      <c r="Q7" s="14" t="str">
        <f t="shared" si="1"/>
        <v>Fashion</v>
      </c>
      <c r="R7" s="14"/>
      <c r="T7" s="11"/>
      <c r="U7" s="24">
        <f t="shared" si="3"/>
        <v>46123</v>
      </c>
      <c r="V7" s="25" t="str">
        <f t="shared" si="4"/>
        <v>US</v>
      </c>
      <c r="W7" s="14"/>
    </row>
    <row r="8" spans="1:23" ht="15.75" customHeight="1">
      <c r="A8" s="4" t="s">
        <v>28</v>
      </c>
      <c r="B8" s="2" t="s">
        <v>29</v>
      </c>
      <c r="C8" s="2" t="s">
        <v>30</v>
      </c>
      <c r="D8" s="4">
        <v>30</v>
      </c>
      <c r="E8" s="2">
        <v>5</v>
      </c>
      <c r="F8" s="4" t="s">
        <v>13</v>
      </c>
      <c r="H8" s="16"/>
      <c r="I8" s="34">
        <f t="shared" si="2"/>
        <v>70</v>
      </c>
      <c r="J8" s="45"/>
      <c r="K8" s="23"/>
      <c r="L8" s="46"/>
      <c r="M8" s="13" t="str">
        <f>PROPER(TRIM(CLEAN(B6)))</f>
        <v>Backpack</v>
      </c>
      <c r="N8" s="14"/>
      <c r="P8" s="11"/>
      <c r="Q8" s="14" t="str">
        <f t="shared" si="1"/>
        <v>Kitchen</v>
      </c>
      <c r="R8" s="14"/>
      <c r="T8" s="11"/>
      <c r="U8" s="24">
        <f t="shared" si="3"/>
        <v>46164</v>
      </c>
      <c r="V8" s="25" t="str">
        <f t="shared" si="4"/>
        <v>US</v>
      </c>
      <c r="W8" s="14"/>
    </row>
    <row r="9" spans="1:23" ht="15.75" customHeight="1">
      <c r="A9" s="5" t="s">
        <v>31</v>
      </c>
      <c r="B9" s="3" t="s">
        <v>32</v>
      </c>
      <c r="C9" s="3" t="s">
        <v>33</v>
      </c>
      <c r="D9" s="5">
        <v>90</v>
      </c>
      <c r="E9" s="3">
        <v>35</v>
      </c>
      <c r="F9" s="5" t="s">
        <v>17</v>
      </c>
      <c r="H9" s="16"/>
      <c r="I9" s="34">
        <f t="shared" si="2"/>
        <v>309.35483870967744</v>
      </c>
      <c r="J9" s="36"/>
      <c r="L9" s="11"/>
      <c r="M9" s="13" t="str">
        <f>PROPER(TRIM(CLEAN(B7)))</f>
        <v>Headphones</v>
      </c>
      <c r="N9" s="14"/>
      <c r="P9" s="11"/>
      <c r="Q9" s="14" t="str">
        <f t="shared" si="1"/>
        <v>Electronicscs</v>
      </c>
      <c r="R9" s="14"/>
      <c r="T9" s="11"/>
      <c r="U9" s="24">
        <f t="shared" si="3"/>
        <v>46180</v>
      </c>
      <c r="V9" s="25" t="str">
        <f t="shared" si="4"/>
        <v>UK</v>
      </c>
      <c r="W9" s="14"/>
    </row>
    <row r="10" spans="1:23" ht="15.75" customHeight="1">
      <c r="A10" s="4" t="s">
        <v>34</v>
      </c>
      <c r="B10" s="2" t="s">
        <v>35</v>
      </c>
      <c r="C10" s="2" t="s">
        <v>36</v>
      </c>
      <c r="D10" s="4">
        <v>500</v>
      </c>
      <c r="E10" s="2">
        <v>50</v>
      </c>
      <c r="F10" s="4" t="s">
        <v>9</v>
      </c>
      <c r="H10" s="16"/>
      <c r="I10" s="34">
        <f t="shared" si="2"/>
        <v>30</v>
      </c>
      <c r="J10" s="36"/>
      <c r="L10" s="11"/>
      <c r="M10" s="13" t="str">
        <f>PROPER(TRIM(CLEAN(B8)))</f>
        <v>T-Shirt</v>
      </c>
      <c r="N10" s="14"/>
      <c r="P10" s="11"/>
      <c r="Q10" s="14" t="str">
        <f t="shared" si="1"/>
        <v>Outdoor</v>
      </c>
      <c r="R10" s="14"/>
      <c r="T10" s="11"/>
      <c r="U10" s="24">
        <f t="shared" si="3"/>
        <v>46222</v>
      </c>
      <c r="V10" s="25" t="str">
        <f t="shared" si="4"/>
        <v>UK</v>
      </c>
      <c r="W10" s="14"/>
    </row>
    <row r="11" spans="1:23" ht="15.75" customHeight="1">
      <c r="A11" s="5" t="s">
        <v>37</v>
      </c>
      <c r="B11" s="3" t="s">
        <v>38</v>
      </c>
      <c r="C11" s="3" t="s">
        <v>39</v>
      </c>
      <c r="D11" s="5">
        <v>130</v>
      </c>
      <c r="E11" s="3">
        <v>10</v>
      </c>
      <c r="F11" s="5" t="s">
        <v>40</v>
      </c>
      <c r="H11" s="16"/>
      <c r="I11" s="34">
        <f t="shared" si="2"/>
        <v>90</v>
      </c>
      <c r="J11" s="36"/>
      <c r="L11" s="11"/>
      <c r="M11" s="13" t="str">
        <f>PROPER(TRIM(CLEAN(B9)))</f>
        <v>Blender</v>
      </c>
      <c r="N11" s="14"/>
      <c r="P11" s="11"/>
      <c r="Q11" s="14" t="str">
        <f t="shared" si="1"/>
        <v>Electronicscs</v>
      </c>
      <c r="R11" s="14"/>
      <c r="T11" s="11"/>
      <c r="U11" s="24">
        <f t="shared" si="3"/>
        <v>46257</v>
      </c>
      <c r="V11" s="25" t="str">
        <f t="shared" si="4"/>
        <v>UK</v>
      </c>
      <c r="W11" s="14"/>
    </row>
    <row r="12" spans="1:23" ht="15.75" customHeight="1">
      <c r="A12" s="4" t="s">
        <v>41</v>
      </c>
      <c r="B12" s="2" t="s">
        <v>42</v>
      </c>
      <c r="C12" s="2" t="s">
        <v>43</v>
      </c>
      <c r="D12" s="4">
        <v>950</v>
      </c>
      <c r="E12" s="2">
        <v>25</v>
      </c>
      <c r="F12" s="4" t="s">
        <v>9</v>
      </c>
      <c r="H12" s="16"/>
      <c r="I12" s="34">
        <f t="shared" si="2"/>
        <v>500</v>
      </c>
      <c r="J12" s="36"/>
      <c r="L12" s="11"/>
      <c r="M12" s="13" t="str">
        <f>PROPER(TRIM(CLEAN(B10)))</f>
        <v>Tablet</v>
      </c>
      <c r="N12" s="14"/>
      <c r="P12" s="11"/>
      <c r="Q12" s="14" t="str">
        <f t="shared" si="1"/>
        <v/>
      </c>
      <c r="R12" s="14"/>
      <c r="T12" s="11"/>
      <c r="U12" s="24">
        <f t="shared" si="3"/>
        <v>46270</v>
      </c>
      <c r="V12" s="25" t="str">
        <f t="shared" si="4"/>
        <v>UK</v>
      </c>
      <c r="W12" s="14"/>
    </row>
    <row r="13" spans="1:23" ht="15.75" customHeight="1">
      <c r="A13" s="5" t="s">
        <v>44</v>
      </c>
      <c r="B13" s="3" t="s">
        <v>11</v>
      </c>
      <c r="C13" s="3" t="s">
        <v>30</v>
      </c>
      <c r="D13" s="5">
        <v>90</v>
      </c>
      <c r="E13" s="3">
        <v>40</v>
      </c>
      <c r="F13" s="5"/>
      <c r="H13" s="16"/>
      <c r="I13" s="34">
        <f t="shared" si="2"/>
        <v>130</v>
      </c>
      <c r="J13" s="36"/>
      <c r="L13" s="11"/>
      <c r="M13" s="13" t="str">
        <f>PROPER(TRIM(CLEAN(B11)))</f>
        <v>Hiking Boots</v>
      </c>
      <c r="N13" s="14"/>
      <c r="P13" s="11"/>
      <c r="Q13" s="14" t="str">
        <f t="shared" si="1"/>
        <v/>
      </c>
      <c r="R13" s="14"/>
      <c r="T13" s="11"/>
      <c r="U13" s="24">
        <f t="shared" si="3"/>
        <v>46309</v>
      </c>
      <c r="V13" s="25" t="str">
        <f t="shared" si="4"/>
        <v>UK</v>
      </c>
      <c r="W13" s="14"/>
    </row>
    <row r="14" spans="1:23" ht="15.75" customHeight="1">
      <c r="A14" s="4" t="s">
        <v>45</v>
      </c>
      <c r="B14" s="2" t="s">
        <v>15</v>
      </c>
      <c r="C14" s="2" t="s">
        <v>46</v>
      </c>
      <c r="D14" s="4">
        <v>120</v>
      </c>
      <c r="E14" s="2">
        <v>35</v>
      </c>
      <c r="F14" s="4"/>
      <c r="H14" s="16"/>
      <c r="I14" s="34">
        <f t="shared" si="2"/>
        <v>950</v>
      </c>
      <c r="J14" s="36"/>
      <c r="L14" s="11"/>
      <c r="M14" s="13" t="str">
        <f>PROPER(TRIM(CLEAN(B12)))</f>
        <v>Laptop</v>
      </c>
      <c r="N14" s="14"/>
      <c r="P14" s="11"/>
      <c r="Q14" s="14" t="str">
        <f t="shared" si="1"/>
        <v>Electronics</v>
      </c>
      <c r="R14" s="14"/>
      <c r="T14" s="11"/>
      <c r="U14" s="24">
        <f t="shared" si="3"/>
        <v>46190</v>
      </c>
      <c r="V14" s="25" t="str">
        <f t="shared" si="4"/>
        <v>IN</v>
      </c>
      <c r="W14" s="14"/>
    </row>
    <row r="15" spans="1:23" ht="15.75" customHeight="1">
      <c r="A15" s="5" t="s">
        <v>47</v>
      </c>
      <c r="B15" s="3" t="s">
        <v>48</v>
      </c>
      <c r="C15" s="3" t="s">
        <v>49</v>
      </c>
      <c r="D15" s="5">
        <v>150</v>
      </c>
      <c r="E15" s="3">
        <v>15</v>
      </c>
      <c r="F15" s="5" t="s">
        <v>27</v>
      </c>
      <c r="H15" s="16"/>
      <c r="I15" s="34">
        <f t="shared" si="2"/>
        <v>90</v>
      </c>
      <c r="J15" s="36"/>
      <c r="L15" s="11"/>
      <c r="M15" s="13" t="str">
        <f>PROPER(TRIM(CLEAN(B13)))</f>
        <v>Sneakers</v>
      </c>
      <c r="N15" s="14"/>
      <c r="P15" s="11"/>
      <c r="Q15" s="14" t="str">
        <f t="shared" si="1"/>
        <v>Electronics</v>
      </c>
      <c r="R15" s="15" t="s">
        <v>110</v>
      </c>
      <c r="T15" s="11"/>
      <c r="U15" s="24">
        <f t="shared" si="3"/>
        <v>46351</v>
      </c>
      <c r="V15" s="25" t="str">
        <f t="shared" si="4"/>
        <v>AU</v>
      </c>
      <c r="W15" s="21" t="s">
        <v>120</v>
      </c>
    </row>
    <row r="16" spans="1:23" ht="15.75" customHeight="1">
      <c r="A16" s="4" t="s">
        <v>50</v>
      </c>
      <c r="B16" s="2" t="s">
        <v>51</v>
      </c>
      <c r="C16" s="2" t="s">
        <v>52</v>
      </c>
      <c r="D16" s="4">
        <v>250</v>
      </c>
      <c r="E16" s="2">
        <v>20</v>
      </c>
      <c r="F16" s="4" t="s">
        <v>27</v>
      </c>
      <c r="H16" s="16"/>
      <c r="I16" s="34">
        <f t="shared" si="2"/>
        <v>120</v>
      </c>
      <c r="J16" s="36"/>
      <c r="L16" s="11"/>
      <c r="M16" s="13" t="str">
        <f>PROPER(TRIM(CLEAN(B14)))</f>
        <v>Coffee Maker</v>
      </c>
      <c r="N16" s="15" t="s">
        <v>109</v>
      </c>
      <c r="P16" s="11"/>
      <c r="Q16" s="14" t="str">
        <f t="shared" si="1"/>
        <v>Accessories</v>
      </c>
      <c r="R16" s="14"/>
      <c r="T16" s="11"/>
      <c r="U16" s="24">
        <f t="shared" si="3"/>
        <v>46364</v>
      </c>
      <c r="V16" s="25" t="str">
        <f t="shared" si="4"/>
        <v>DE</v>
      </c>
      <c r="W16" s="21"/>
    </row>
    <row r="17" spans="1:23" ht="15.75" customHeight="1">
      <c r="A17" s="5" t="s">
        <v>53</v>
      </c>
      <c r="B17" s="3" t="s">
        <v>54</v>
      </c>
      <c r="C17" s="3" t="s">
        <v>55</v>
      </c>
      <c r="D17" s="5">
        <v>50</v>
      </c>
      <c r="E17" s="3">
        <v>35</v>
      </c>
      <c r="F17" s="5" t="s">
        <v>56</v>
      </c>
      <c r="H17" s="16"/>
      <c r="I17" s="34">
        <f t="shared" si="2"/>
        <v>150</v>
      </c>
      <c r="J17" s="36"/>
      <c r="L17" s="11"/>
      <c r="M17" s="13" t="str">
        <f>PROPER(TRIM(CLEAN(B15)))</f>
        <v>Smartwatch</v>
      </c>
      <c r="N17" s="14"/>
      <c r="P17" s="11"/>
      <c r="Q17" s="14" t="str">
        <f t="shared" si="1"/>
        <v>Electronics</v>
      </c>
      <c r="R17" s="14"/>
      <c r="T17" s="11"/>
      <c r="U17" s="24">
        <f t="shared" si="3"/>
        <v>46071</v>
      </c>
      <c r="V17" s="25" t="str">
        <f t="shared" si="4"/>
        <v>CA</v>
      </c>
      <c r="W17" s="14"/>
    </row>
    <row r="18" spans="1:23" ht="15.75" customHeight="1">
      <c r="A18" s="4" t="s">
        <v>57</v>
      </c>
      <c r="B18" s="2" t="s">
        <v>48</v>
      </c>
      <c r="C18" s="2" t="s">
        <v>58</v>
      </c>
      <c r="D18" s="4">
        <v>160</v>
      </c>
      <c r="E18" s="2">
        <v>15</v>
      </c>
      <c r="F18" s="4" t="s">
        <v>27</v>
      </c>
      <c r="H18" s="16"/>
      <c r="I18" s="34">
        <f t="shared" si="2"/>
        <v>250</v>
      </c>
      <c r="J18" s="36"/>
      <c r="L18" s="11"/>
      <c r="M18" s="13" t="str">
        <f>PROPER(TRIM(CLEAN(B16)))</f>
        <v>Headphones</v>
      </c>
      <c r="N18" s="14"/>
      <c r="P18" s="11"/>
      <c r="Q18" s="14" t="str">
        <f t="shared" si="1"/>
        <v>Electronicscs</v>
      </c>
      <c r="R18" s="14"/>
      <c r="T18" s="11"/>
      <c r="U18" s="24">
        <f t="shared" si="3"/>
        <v>46128</v>
      </c>
      <c r="V18" s="25" t="str">
        <f t="shared" si="4"/>
        <v>ES</v>
      </c>
      <c r="W18" s="14"/>
    </row>
    <row r="19" spans="1:23" ht="15.75" customHeight="1">
      <c r="A19" s="5" t="s">
        <v>59</v>
      </c>
      <c r="B19" s="3" t="s">
        <v>7</v>
      </c>
      <c r="C19" s="3" t="s">
        <v>60</v>
      </c>
      <c r="D19" s="5">
        <v>980</v>
      </c>
      <c r="E19" s="3">
        <v>10</v>
      </c>
      <c r="F19" s="5" t="s">
        <v>9</v>
      </c>
      <c r="H19" s="16"/>
      <c r="I19" s="34">
        <f t="shared" si="2"/>
        <v>50</v>
      </c>
      <c r="J19" s="36"/>
      <c r="L19" s="11"/>
      <c r="M19" s="13" t="str">
        <f>PROPER(TRIM(CLEAN(B17)))</f>
        <v>Laptop Bag</v>
      </c>
      <c r="N19" s="14"/>
      <c r="P19" s="11"/>
      <c r="Q19" s="14" t="str">
        <f t="shared" si="1"/>
        <v>Fashion</v>
      </c>
      <c r="R19" s="14"/>
      <c r="T19" s="11"/>
      <c r="U19" s="24">
        <f t="shared" si="3"/>
        <v>46255</v>
      </c>
      <c r="V19" s="25" t="str">
        <f t="shared" si="4"/>
        <v>CA</v>
      </c>
      <c r="W19" s="21" t="s">
        <v>119</v>
      </c>
    </row>
    <row r="20" spans="1:23" ht="15.75" customHeight="1">
      <c r="A20" s="4" t="s">
        <v>61</v>
      </c>
      <c r="B20" s="2" t="s">
        <v>62</v>
      </c>
      <c r="C20" s="2" t="s">
        <v>63</v>
      </c>
      <c r="D20" s="4">
        <v>150</v>
      </c>
      <c r="E20" s="2">
        <v>15</v>
      </c>
      <c r="F20" s="4" t="s">
        <v>13</v>
      </c>
      <c r="H20" s="16"/>
      <c r="I20" s="34">
        <f t="shared" si="2"/>
        <v>160</v>
      </c>
      <c r="J20" s="30" t="s">
        <v>103</v>
      </c>
      <c r="L20" s="11"/>
      <c r="M20" s="13" t="str">
        <f>PROPER(TRIM(CLEAN(B18)))</f>
        <v>Smartwatch</v>
      </c>
      <c r="N20" s="14"/>
      <c r="P20" s="11"/>
      <c r="Q20" s="14" t="str">
        <f t="shared" si="1"/>
        <v>Outdoor</v>
      </c>
      <c r="R20" s="14"/>
      <c r="T20" s="11"/>
      <c r="U20" s="24">
        <f t="shared" si="3"/>
        <v>46254</v>
      </c>
      <c r="V20" s="25" t="str">
        <f t="shared" si="4"/>
        <v>CN</v>
      </c>
      <c r="W20" s="21"/>
    </row>
    <row r="21" spans="1:23" ht="15.75" customHeight="1">
      <c r="A21" s="5" t="s">
        <v>64</v>
      </c>
      <c r="B21" s="3" t="s">
        <v>65</v>
      </c>
      <c r="C21" s="3" t="s">
        <v>66</v>
      </c>
      <c r="D21" s="5"/>
      <c r="E21" s="3">
        <v>10</v>
      </c>
      <c r="F21" s="5" t="s">
        <v>40</v>
      </c>
      <c r="H21" s="16"/>
      <c r="I21" s="34">
        <f t="shared" si="2"/>
        <v>980</v>
      </c>
      <c r="J21" s="36"/>
      <c r="L21" s="11"/>
      <c r="M21" s="13" t="str">
        <f>PROPER(TRIM(CLEAN(B19)))</f>
        <v>Laptop</v>
      </c>
      <c r="N21" s="14"/>
      <c r="P21" s="11"/>
      <c r="Q21" s="14" t="str">
        <f t="shared" si="1"/>
        <v>Electronicscs</v>
      </c>
      <c r="R21" s="14"/>
      <c r="T21" s="11"/>
      <c r="U21" s="24">
        <f t="shared" si="3"/>
        <v>46049</v>
      </c>
      <c r="V21" s="25" t="str">
        <f t="shared" si="4"/>
        <v>IT</v>
      </c>
      <c r="W21" s="14"/>
    </row>
    <row r="22" spans="1:23" ht="15.75" customHeight="1">
      <c r="A22" s="4" t="s">
        <v>67</v>
      </c>
      <c r="B22" s="2" t="s">
        <v>68</v>
      </c>
      <c r="C22" s="2" t="s">
        <v>69</v>
      </c>
      <c r="D22" s="4">
        <v>700</v>
      </c>
      <c r="E22" s="2">
        <v>50</v>
      </c>
      <c r="F22" s="4" t="s">
        <v>9</v>
      </c>
      <c r="H22" s="16"/>
      <c r="I22" s="34">
        <f t="shared" si="2"/>
        <v>150</v>
      </c>
      <c r="J22" s="36"/>
      <c r="L22" s="11"/>
      <c r="M22" s="13" t="str">
        <f>PROPER(TRIM(CLEAN(B20)))</f>
        <v>Sunglasses</v>
      </c>
      <c r="N22" s="14"/>
      <c r="P22" s="11"/>
      <c r="Q22" s="14" t="str">
        <f t="shared" si="1"/>
        <v>Kitchen</v>
      </c>
      <c r="R22" s="14"/>
      <c r="T22" s="11"/>
      <c r="U22" s="24">
        <f t="shared" si="3"/>
        <v>46082</v>
      </c>
      <c r="V22" s="25" t="str">
        <f t="shared" si="4"/>
        <v>UK</v>
      </c>
      <c r="W22" s="14"/>
    </row>
    <row r="23" spans="1:23" ht="15.75" customHeight="1">
      <c r="A23" s="5" t="s">
        <v>70</v>
      </c>
      <c r="B23" s="3" t="s">
        <v>71</v>
      </c>
      <c r="C23" s="3" t="s">
        <v>72</v>
      </c>
      <c r="D23" s="5">
        <v>80</v>
      </c>
      <c r="E23" s="3">
        <v>20</v>
      </c>
      <c r="F23" s="5" t="s">
        <v>17</v>
      </c>
      <c r="H23" s="16"/>
      <c r="I23" s="34">
        <f t="shared" si="2"/>
        <v>309.35483870967744</v>
      </c>
      <c r="J23" s="36"/>
      <c r="L23" s="11"/>
      <c r="M23" s="13" t="str">
        <f>PROPER(TRIM(CLEAN(B21)))</f>
        <v>Camping Tent</v>
      </c>
      <c r="N23" s="14"/>
      <c r="P23" s="11"/>
      <c r="Q23" s="14" t="str">
        <f t="shared" si="1"/>
        <v/>
      </c>
      <c r="R23" s="14"/>
      <c r="T23" s="11"/>
      <c r="U23" s="24">
        <f t="shared" si="3"/>
        <v>46248</v>
      </c>
      <c r="V23" s="25" t="str">
        <f t="shared" si="4"/>
        <v>US</v>
      </c>
      <c r="W23" s="14"/>
    </row>
    <row r="24" spans="1:23" ht="15.75" customHeight="1">
      <c r="A24" s="4" t="s">
        <v>73</v>
      </c>
      <c r="B24" s="2" t="s">
        <v>74</v>
      </c>
      <c r="C24" s="2" t="s">
        <v>75</v>
      </c>
      <c r="D24" s="4">
        <v>150</v>
      </c>
      <c r="E24" s="2">
        <v>30</v>
      </c>
      <c r="F24" s="4"/>
      <c r="H24" s="16"/>
      <c r="I24" s="34">
        <f t="shared" si="2"/>
        <v>700</v>
      </c>
      <c r="J24" s="36"/>
      <c r="L24" s="11"/>
      <c r="M24" s="13" t="str">
        <f>PROPER(TRIM(CLEAN(B22)))</f>
        <v>Camera</v>
      </c>
      <c r="N24" s="14"/>
      <c r="P24" s="11"/>
      <c r="Q24" s="14" t="str">
        <f t="shared" si="1"/>
        <v>Accessories</v>
      </c>
      <c r="R24" s="14"/>
      <c r="T24" s="11"/>
      <c r="U24" s="24">
        <f t="shared" si="3"/>
        <v>46156</v>
      </c>
      <c r="V24" s="25" t="str">
        <f t="shared" si="4"/>
        <v>RU</v>
      </c>
      <c r="W24" s="14"/>
    </row>
    <row r="25" spans="1:23" ht="15.75" customHeight="1">
      <c r="A25" s="5" t="s">
        <v>53</v>
      </c>
      <c r="B25" s="3" t="s">
        <v>54</v>
      </c>
      <c r="C25" s="3" t="s">
        <v>55</v>
      </c>
      <c r="D25" s="5">
        <v>50</v>
      </c>
      <c r="E25" s="3">
        <v>35</v>
      </c>
      <c r="F25" s="5" t="s">
        <v>56</v>
      </c>
      <c r="H25" s="16"/>
      <c r="I25" s="34">
        <f t="shared" si="2"/>
        <v>80</v>
      </c>
      <c r="J25" s="36"/>
      <c r="L25" s="11"/>
      <c r="M25" s="13" t="str">
        <f>PROPER(TRIM(CLEAN(B23)))</f>
        <v>Microwave</v>
      </c>
      <c r="N25" s="14"/>
      <c r="P25" s="11"/>
      <c r="Q25" s="14" t="str">
        <f t="shared" si="1"/>
        <v>Electronicscs</v>
      </c>
      <c r="R25" s="14"/>
      <c r="T25" s="11"/>
      <c r="U25" s="24">
        <f t="shared" si="3"/>
        <v>46031</v>
      </c>
      <c r="V25" s="25" t="str">
        <f t="shared" si="4"/>
        <v>CA</v>
      </c>
      <c r="W25" s="14"/>
    </row>
    <row r="26" spans="1:23" ht="15.75" customHeight="1">
      <c r="A26" s="4" t="s">
        <v>76</v>
      </c>
      <c r="B26" s="2" t="s">
        <v>77</v>
      </c>
      <c r="C26" s="2" t="s">
        <v>78</v>
      </c>
      <c r="D26" s="4">
        <v>800</v>
      </c>
      <c r="E26" s="2">
        <v>45</v>
      </c>
      <c r="F26" s="4" t="s">
        <v>9</v>
      </c>
      <c r="H26" s="16"/>
      <c r="I26" s="34">
        <f t="shared" si="2"/>
        <v>150</v>
      </c>
      <c r="J26" s="36"/>
      <c r="L26" s="11"/>
      <c r="M26" s="13" t="str">
        <f>PROPER(TRIM(CLEAN(B24)))</f>
        <v>Fitness Tracker</v>
      </c>
      <c r="N26" s="14"/>
      <c r="P26" s="11"/>
      <c r="Q26" s="14" t="str">
        <f t="shared" si="1"/>
        <v>Fashion</v>
      </c>
      <c r="R26" s="14"/>
      <c r="T26" s="11"/>
      <c r="U26" s="24">
        <f t="shared" si="3"/>
        <v>46222</v>
      </c>
      <c r="V26" s="25" t="str">
        <f t="shared" si="4"/>
        <v>BR</v>
      </c>
      <c r="W26" s="14"/>
    </row>
    <row r="27" spans="1:23" ht="15.75" customHeight="1">
      <c r="A27" s="5" t="s">
        <v>79</v>
      </c>
      <c r="B27" s="3" t="s">
        <v>62</v>
      </c>
      <c r="C27" s="3" t="s">
        <v>80</v>
      </c>
      <c r="D27" s="5"/>
      <c r="E27" s="3">
        <v>25</v>
      </c>
      <c r="F27" s="5" t="s">
        <v>13</v>
      </c>
      <c r="H27" s="16"/>
      <c r="I27" s="34">
        <f t="shared" si="2"/>
        <v>50</v>
      </c>
      <c r="J27" s="36"/>
      <c r="L27" s="11"/>
      <c r="M27" s="13" t="str">
        <f>PROPER(TRIM(CLEAN(B25)))</f>
        <v>Laptop Bag</v>
      </c>
      <c r="N27" s="14"/>
      <c r="P27" s="11"/>
      <c r="Q27" s="14" t="str">
        <f t="shared" si="1"/>
        <v>Kitchen</v>
      </c>
      <c r="R27" s="14"/>
      <c r="T27" s="11"/>
      <c r="U27" s="24">
        <f t="shared" si="3"/>
        <v>46255</v>
      </c>
      <c r="V27" s="25" t="str">
        <f t="shared" si="4"/>
        <v>CA</v>
      </c>
      <c r="W27" s="14"/>
    </row>
    <row r="28" spans="1:23" ht="15.75" customHeight="1">
      <c r="A28" s="4" t="s">
        <v>81</v>
      </c>
      <c r="B28" s="2" t="s">
        <v>32</v>
      </c>
      <c r="C28" s="2" t="s">
        <v>82</v>
      </c>
      <c r="D28" s="4">
        <v>400</v>
      </c>
      <c r="E28" s="2">
        <v>40</v>
      </c>
      <c r="F28" s="4" t="s">
        <v>17</v>
      </c>
      <c r="H28" s="16"/>
      <c r="I28" s="34">
        <f t="shared" si="2"/>
        <v>800</v>
      </c>
      <c r="J28" s="36"/>
      <c r="L28" s="11"/>
      <c r="M28" s="13" t="str">
        <f>PROPER(TRIM(CLEAN(B26)))</f>
        <v>Smartphone</v>
      </c>
      <c r="N28" s="14"/>
      <c r="P28" s="11"/>
      <c r="Q28" s="14" t="str">
        <f t="shared" si="1"/>
        <v>Electronics</v>
      </c>
      <c r="R28" s="14"/>
      <c r="T28" s="11"/>
      <c r="U28" s="24">
        <f t="shared" si="3"/>
        <v>46294</v>
      </c>
      <c r="V28" s="25" t="str">
        <f t="shared" si="4"/>
        <v>CA</v>
      </c>
      <c r="W28" s="14"/>
    </row>
    <row r="29" spans="1:23" ht="15.75" customHeight="1">
      <c r="A29" s="5" t="s">
        <v>50</v>
      </c>
      <c r="B29" s="3" t="s">
        <v>51</v>
      </c>
      <c r="C29" s="3" t="s">
        <v>52</v>
      </c>
      <c r="D29" s="5">
        <v>250</v>
      </c>
      <c r="E29" s="3">
        <v>20</v>
      </c>
      <c r="F29" s="5" t="s">
        <v>27</v>
      </c>
      <c r="H29" s="16"/>
      <c r="I29" s="34">
        <f t="shared" si="2"/>
        <v>309.35483870967744</v>
      </c>
      <c r="J29" s="36"/>
      <c r="L29" s="11"/>
      <c r="M29" s="13" t="str">
        <f>PROPER(TRIM(CLEAN(B27)))</f>
        <v>Sunglasses</v>
      </c>
      <c r="N29" s="14"/>
      <c r="P29" s="11"/>
      <c r="Q29" s="14" t="str">
        <f t="shared" si="1"/>
        <v>Fashion</v>
      </c>
      <c r="R29" s="14"/>
      <c r="T29" s="11"/>
      <c r="U29" s="24">
        <f t="shared" si="3"/>
        <v>46176</v>
      </c>
      <c r="V29" s="25" t="str">
        <f t="shared" si="4"/>
        <v>CA</v>
      </c>
      <c r="W29" s="14"/>
    </row>
    <row r="30" spans="1:23" ht="15.75" customHeight="1">
      <c r="A30" s="4" t="s">
        <v>83</v>
      </c>
      <c r="B30" s="2" t="s">
        <v>84</v>
      </c>
      <c r="C30" s="2" t="s">
        <v>85</v>
      </c>
      <c r="D30" s="4">
        <v>60</v>
      </c>
      <c r="E30" s="2">
        <v>30</v>
      </c>
      <c r="F30" s="4" t="s">
        <v>13</v>
      </c>
      <c r="H30" s="16"/>
      <c r="I30" s="34">
        <f t="shared" si="2"/>
        <v>400</v>
      </c>
      <c r="J30" s="36"/>
      <c r="L30" s="11"/>
      <c r="M30" s="13" t="str">
        <f>PROPER(TRIM(CLEAN(B28)))</f>
        <v>Blender</v>
      </c>
      <c r="N30" s="14"/>
      <c r="P30" s="11"/>
      <c r="Q30" s="14" t="str">
        <f t="shared" si="1"/>
        <v>Kitchen</v>
      </c>
      <c r="R30" s="14"/>
      <c r="T30" s="11"/>
      <c r="U30" s="24">
        <f t="shared" si="3"/>
        <v>46214</v>
      </c>
      <c r="V30" s="25" t="str">
        <f t="shared" si="4"/>
        <v>CA</v>
      </c>
      <c r="W30" s="14"/>
    </row>
    <row r="31" spans="1:23" ht="15.75" customHeight="1">
      <c r="A31" s="5" t="s">
        <v>86</v>
      </c>
      <c r="B31" s="3" t="s">
        <v>87</v>
      </c>
      <c r="C31" s="3" t="s">
        <v>88</v>
      </c>
      <c r="D31" s="5">
        <v>40</v>
      </c>
      <c r="E31" s="3">
        <v>10</v>
      </c>
      <c r="F31" s="5" t="s">
        <v>17</v>
      </c>
      <c r="H31" s="16"/>
      <c r="I31" s="34">
        <f t="shared" si="2"/>
        <v>250</v>
      </c>
      <c r="J31" s="36"/>
      <c r="L31" s="11"/>
      <c r="M31" s="13" t="str">
        <f>PROPER(TRIM(CLEAN(B29)))</f>
        <v>Headphones</v>
      </c>
      <c r="N31" s="14"/>
      <c r="P31" s="11"/>
      <c r="Q31" s="14" t="str">
        <f t="shared" si="1"/>
        <v>Electronicscs</v>
      </c>
      <c r="R31" s="14"/>
      <c r="T31" s="11"/>
      <c r="U31" s="24">
        <f t="shared" si="3"/>
        <v>46128</v>
      </c>
      <c r="V31" s="25" t="str">
        <f t="shared" si="4"/>
        <v>ES</v>
      </c>
      <c r="W31" s="14"/>
    </row>
    <row r="32" spans="1:23" ht="15.75" customHeight="1">
      <c r="A32" s="4" t="s">
        <v>89</v>
      </c>
      <c r="B32" s="2" t="s">
        <v>74</v>
      </c>
      <c r="C32" s="2" t="s">
        <v>90</v>
      </c>
      <c r="D32" s="4">
        <v>130</v>
      </c>
      <c r="E32" s="2">
        <v>5</v>
      </c>
      <c r="F32" s="4" t="s">
        <v>9</v>
      </c>
      <c r="H32" s="16"/>
      <c r="I32" s="34">
        <f t="shared" si="2"/>
        <v>60</v>
      </c>
      <c r="J32" s="36"/>
      <c r="L32" s="11"/>
      <c r="M32" s="13" t="str">
        <f>PROPER(TRIM(CLEAN(B30)))</f>
        <v>Dress</v>
      </c>
      <c r="N32" s="14"/>
      <c r="P32" s="11"/>
      <c r="Q32" s="14" t="str">
        <f t="shared" si="1"/>
        <v>Fashion</v>
      </c>
      <c r="R32" s="14"/>
      <c r="T32" s="11"/>
      <c r="U32" s="24">
        <f t="shared" si="3"/>
        <v>46088</v>
      </c>
      <c r="V32" s="25" t="str">
        <f t="shared" si="4"/>
        <v>CA</v>
      </c>
      <c r="W32" s="14"/>
    </row>
    <row r="33" spans="1:23" ht="15.75" customHeight="1">
      <c r="A33" s="5" t="s">
        <v>91</v>
      </c>
      <c r="B33" s="3" t="s">
        <v>92</v>
      </c>
      <c r="C33" s="3" t="s">
        <v>93</v>
      </c>
      <c r="D33" s="5">
        <v>50</v>
      </c>
      <c r="E33" s="3">
        <v>50</v>
      </c>
      <c r="F33" s="5" t="s">
        <v>13</v>
      </c>
      <c r="H33" s="16"/>
      <c r="I33" s="34">
        <f t="shared" si="2"/>
        <v>40</v>
      </c>
      <c r="J33" s="36"/>
      <c r="L33" s="11"/>
      <c r="M33" s="13" t="str">
        <f>PROPER(TRIM(CLEAN(B31)))</f>
        <v>Toaster</v>
      </c>
      <c r="N33" s="14"/>
      <c r="P33" s="11"/>
      <c r="Q33" s="14" t="str">
        <f t="shared" si="1"/>
        <v>Electronicscs</v>
      </c>
      <c r="R33" s="14"/>
      <c r="T33" s="11"/>
      <c r="U33" s="24">
        <f t="shared" si="3"/>
        <v>46125</v>
      </c>
      <c r="V33" s="25" t="str">
        <f t="shared" si="4"/>
        <v>CA</v>
      </c>
      <c r="W33" s="14"/>
    </row>
    <row r="34" spans="1:23" ht="15.75" customHeight="1">
      <c r="A34" s="4" t="s">
        <v>41</v>
      </c>
      <c r="B34" s="2" t="s">
        <v>42</v>
      </c>
      <c r="C34" s="2" t="s">
        <v>43</v>
      </c>
      <c r="D34" s="4">
        <v>950</v>
      </c>
      <c r="E34" s="2">
        <v>25</v>
      </c>
      <c r="F34" s="4" t="s">
        <v>9</v>
      </c>
      <c r="H34" s="16"/>
      <c r="I34" s="34">
        <f t="shared" si="2"/>
        <v>130</v>
      </c>
      <c r="J34" s="36"/>
      <c r="L34" s="11"/>
      <c r="M34" s="13" t="str">
        <f>PROPER(TRIM(CLEAN(B32)))</f>
        <v>Fitness Tracker</v>
      </c>
      <c r="N34" s="14"/>
      <c r="P34" s="11"/>
      <c r="Q34" s="14" t="str">
        <f>IF(F35="","",SUBSTITUTE(F35,"Electroni","Electronics"))</f>
        <v>Accessories</v>
      </c>
      <c r="R34" s="14"/>
      <c r="T34" s="11"/>
      <c r="U34" s="24">
        <f t="shared" si="3"/>
        <v>46166</v>
      </c>
      <c r="V34" s="25" t="str">
        <f t="shared" si="4"/>
        <v>CA</v>
      </c>
      <c r="W34" s="14"/>
    </row>
    <row r="35" spans="1:23" ht="15.75" customHeight="1">
      <c r="A35" s="5" t="s">
        <v>94</v>
      </c>
      <c r="B35" s="3" t="s">
        <v>95</v>
      </c>
      <c r="C35" s="3" t="s">
        <v>96</v>
      </c>
      <c r="D35" s="5">
        <v>100</v>
      </c>
      <c r="E35" s="3">
        <v>20</v>
      </c>
      <c r="F35" s="5" t="s">
        <v>56</v>
      </c>
      <c r="H35" s="16"/>
      <c r="I35" s="34">
        <f t="shared" si="2"/>
        <v>50</v>
      </c>
      <c r="J35" s="36"/>
      <c r="L35" s="11"/>
      <c r="M35" s="13" t="str">
        <f>PROPER(TRIM(CLEAN(B33)))</f>
        <v>Jeans</v>
      </c>
      <c r="N35" s="14"/>
      <c r="Q35" t="str">
        <f t="shared" ref="Q2:Q35" si="5">SUBSTITUTE(F36,"Electroni","Electronics")</f>
        <v/>
      </c>
      <c r="T35" s="11"/>
      <c r="U35" s="24">
        <f t="shared" si="3"/>
        <v>46358</v>
      </c>
      <c r="V35" s="25" t="str">
        <f t="shared" si="4"/>
        <v>CA</v>
      </c>
      <c r="W35" s="14"/>
    </row>
    <row r="36" spans="1:23" ht="15.75" customHeight="1">
      <c r="H36" s="16"/>
      <c r="I36" s="34">
        <f t="shared" si="2"/>
        <v>950</v>
      </c>
      <c r="J36" s="36"/>
      <c r="L36" s="11"/>
      <c r="M36" s="13" t="str">
        <f>PROPER(TRIM(CLEAN(B34)))</f>
        <v>Laptop</v>
      </c>
      <c r="N36" s="14"/>
      <c r="T36" s="11"/>
      <c r="U36" s="24">
        <f t="shared" si="3"/>
        <v>46190</v>
      </c>
      <c r="V36" s="25" t="str">
        <f t="shared" si="4"/>
        <v>IN</v>
      </c>
      <c r="W36" s="14"/>
    </row>
    <row r="37" spans="1:23" ht="15.75" customHeight="1">
      <c r="H37" s="16"/>
      <c r="I37" s="34">
        <f t="shared" si="2"/>
        <v>100</v>
      </c>
      <c r="J37" s="36"/>
      <c r="L37" s="11"/>
      <c r="M37" s="13" t="str">
        <f>PROPER(TRIM(CLEAN(B35)))</f>
        <v>Watch</v>
      </c>
      <c r="N37" s="14"/>
      <c r="T37" s="11"/>
      <c r="U37" s="24">
        <f>DATE(2026,MONTH(DATEVALUE("1-"&amp;MID(A35,4,3))),VALUE(LEFT(A35,2)))</f>
        <v>46212</v>
      </c>
      <c r="V37" s="25" t="str">
        <f t="shared" si="4"/>
        <v>FR</v>
      </c>
      <c r="W37" s="14"/>
    </row>
    <row r="38" spans="1:23" ht="15.75" customHeight="1">
      <c r="H38" s="11" t="s">
        <v>104</v>
      </c>
      <c r="I38" s="40" t="s">
        <v>105</v>
      </c>
      <c r="J38" s="36"/>
      <c r="M38" s="10"/>
      <c r="T38" s="16" t="s">
        <v>123</v>
      </c>
      <c r="U38" s="43" t="s">
        <v>121</v>
      </c>
      <c r="V38" s="14"/>
    </row>
    <row r="39" spans="1:23" ht="15.75" customHeight="1">
      <c r="H39" s="11"/>
      <c r="I39" s="37" t="str">
        <f>IF(F2="","Unkown",F2)</f>
        <v>Electronics</v>
      </c>
      <c r="J39" s="36"/>
      <c r="L39" s="38" t="s">
        <v>111</v>
      </c>
      <c r="M39" s="38"/>
      <c r="N39" s="38"/>
      <c r="T39" s="11"/>
      <c r="U39" s="27" t="str">
        <f>C2&amp;" "&amp;B2</f>
        <v>Dell laptop</v>
      </c>
      <c r="V39" s="14"/>
    </row>
    <row r="40" spans="1:23" ht="15.75" customHeight="1">
      <c r="H40" s="11"/>
      <c r="I40" s="37" t="str">
        <f t="shared" ref="I40:I72" si="6">IF(F3="","Unkown",F3)</f>
        <v>Fashion</v>
      </c>
      <c r="J40" s="36"/>
      <c r="L40" s="39" t="s">
        <v>98</v>
      </c>
      <c r="M40" s="39" t="s">
        <v>99</v>
      </c>
      <c r="N40" s="39" t="s">
        <v>100</v>
      </c>
      <c r="T40" s="11"/>
      <c r="U40" s="27" t="str">
        <f t="shared" ref="U40:U72" si="7">C3&amp;" "&amp;B3</f>
        <v>Nike Sneakers</v>
      </c>
      <c r="V40" s="14"/>
    </row>
    <row r="41" spans="1:23" ht="15.75" customHeight="1">
      <c r="H41" s="11"/>
      <c r="I41" s="37" t="str">
        <f t="shared" si="6"/>
        <v>Kitchen</v>
      </c>
      <c r="J41" s="36"/>
      <c r="L41" s="28" t="s">
        <v>112</v>
      </c>
      <c r="M41" s="43" t="s">
        <v>124</v>
      </c>
      <c r="N41" s="31" t="s">
        <v>114</v>
      </c>
      <c r="T41" s="11"/>
      <c r="U41" s="27" t="str">
        <f t="shared" si="7"/>
        <v>Keurig Coffee Maker</v>
      </c>
      <c r="V41" s="14"/>
    </row>
    <row r="42" spans="1:23" ht="15.75" customHeight="1">
      <c r="H42" s="11"/>
      <c r="I42" s="37" t="str">
        <f t="shared" si="6"/>
        <v>Electronics</v>
      </c>
      <c r="J42" s="36"/>
      <c r="L42" s="29"/>
      <c r="M42" s="20" t="s">
        <v>113</v>
      </c>
      <c r="N42" s="32"/>
      <c r="T42" s="11"/>
      <c r="U42" s="27" t="str">
        <f t="shared" si="7"/>
        <v>Samsung smartphone</v>
      </c>
      <c r="V42" s="14"/>
    </row>
    <row r="43" spans="1:23" ht="15.75" customHeight="1">
      <c r="H43" s="11"/>
      <c r="I43" s="37" t="str">
        <f t="shared" si="6"/>
        <v>Unkown</v>
      </c>
      <c r="J43" s="36"/>
      <c r="L43" s="29"/>
      <c r="M43" s="20"/>
      <c r="N43" s="32"/>
      <c r="T43" s="11"/>
      <c r="U43" s="27" t="str">
        <f t="shared" si="7"/>
        <v>North Face Backpack</v>
      </c>
      <c r="V43" s="14"/>
    </row>
    <row r="44" spans="1:23" ht="15.75" customHeight="1">
      <c r="H44" s="11"/>
      <c r="I44" s="37" t="str">
        <f t="shared" si="6"/>
        <v>Electroni</v>
      </c>
      <c r="J44" s="36"/>
      <c r="L44" s="29"/>
      <c r="M44" s="20"/>
      <c r="N44" s="32"/>
      <c r="T44" s="11"/>
      <c r="U44" s="27" t="str">
        <f t="shared" si="7"/>
        <v>Sony Headphones</v>
      </c>
      <c r="V44" s="14"/>
    </row>
    <row r="45" spans="1:23" ht="15.75" customHeight="1">
      <c r="H45" s="11"/>
      <c r="I45" s="37" t="str">
        <f t="shared" si="6"/>
        <v>Fashion</v>
      </c>
      <c r="J45" s="36"/>
      <c r="L45" s="22"/>
      <c r="M45" s="19"/>
      <c r="N45" s="22"/>
      <c r="O45" s="22"/>
      <c r="T45" s="11"/>
      <c r="U45" s="27" t="str">
        <f t="shared" si="7"/>
        <v>Adidas T-shirt</v>
      </c>
      <c r="V45" s="14"/>
    </row>
    <row r="46" spans="1:23" ht="15.75" customHeight="1">
      <c r="H46" s="11"/>
      <c r="I46" s="37" t="str">
        <f t="shared" si="6"/>
        <v>Kitchen</v>
      </c>
      <c r="J46" s="36"/>
      <c r="L46" s="22"/>
      <c r="M46" s="22"/>
      <c r="N46" s="22"/>
      <c r="O46" s="22"/>
      <c r="T46" s="11"/>
      <c r="U46" s="27" t="str">
        <f t="shared" si="7"/>
        <v>Ninja Blender</v>
      </c>
      <c r="V46" s="14"/>
    </row>
    <row r="47" spans="1:23" ht="15.75" customHeight="1">
      <c r="H47" s="11"/>
      <c r="I47" s="37" t="str">
        <f t="shared" si="6"/>
        <v>Electronics</v>
      </c>
      <c r="J47" s="36"/>
      <c r="L47" s="22"/>
      <c r="M47" s="22"/>
      <c r="N47" s="22"/>
      <c r="T47" s="11"/>
      <c r="U47" s="27" t="str">
        <f t="shared" si="7"/>
        <v>Apple Tablet</v>
      </c>
      <c r="V47" s="14"/>
    </row>
    <row r="48" spans="1:23" ht="15.75" customHeight="1">
      <c r="H48" s="11"/>
      <c r="I48" s="37" t="str">
        <f t="shared" si="6"/>
        <v>Outdoor</v>
      </c>
      <c r="J48" s="36"/>
      <c r="L48" s="18"/>
      <c r="M48" s="22"/>
      <c r="T48" s="11"/>
      <c r="U48" s="27" t="str">
        <f t="shared" si="7"/>
        <v>Timberland Hiking Boots</v>
      </c>
      <c r="V48" s="14"/>
    </row>
    <row r="49" spans="8:22" ht="15.75" customHeight="1">
      <c r="H49" s="11"/>
      <c r="I49" s="37" t="str">
        <f t="shared" si="6"/>
        <v>Electronics</v>
      </c>
      <c r="J49" s="30" t="s">
        <v>106</v>
      </c>
      <c r="L49" s="18"/>
      <c r="M49" s="22"/>
      <c r="T49" s="11"/>
      <c r="U49" s="27" t="str">
        <f t="shared" si="7"/>
        <v>HP Laptop</v>
      </c>
      <c r="V49" s="21" t="s">
        <v>122</v>
      </c>
    </row>
    <row r="50" spans="8:22" ht="15.75" customHeight="1">
      <c r="H50" s="11"/>
      <c r="I50" s="37" t="str">
        <f t="shared" si="6"/>
        <v>Unkown</v>
      </c>
      <c r="J50" s="36"/>
      <c r="L50" s="18"/>
      <c r="M50" s="8"/>
      <c r="T50" s="11"/>
      <c r="U50" s="27" t="str">
        <f t="shared" si="7"/>
        <v>Adidas Sneakers</v>
      </c>
      <c r="V50" s="21"/>
    </row>
    <row r="51" spans="8:22" ht="15.75" customHeight="1">
      <c r="H51" s="11"/>
      <c r="I51" s="37" t="str">
        <f t="shared" si="6"/>
        <v>Unkown</v>
      </c>
      <c r="J51" s="36"/>
      <c r="K51" s="22"/>
      <c r="L51" s="18"/>
      <c r="M51" s="8"/>
      <c r="T51" s="11"/>
      <c r="U51" s="27" t="str">
        <f t="shared" si="7"/>
        <v>Nespresso Coffee Maker</v>
      </c>
      <c r="V51" s="14"/>
    </row>
    <row r="52" spans="8:22" ht="15.75" customHeight="1">
      <c r="H52" s="11"/>
      <c r="I52" s="37" t="str">
        <f t="shared" si="6"/>
        <v>Electroni</v>
      </c>
      <c r="J52" s="36"/>
      <c r="L52" s="18"/>
      <c r="M52" s="8"/>
      <c r="T52" s="11"/>
      <c r="U52" s="27" t="str">
        <f t="shared" si="7"/>
        <v>Fitbit Smartwatch</v>
      </c>
      <c r="V52" s="14"/>
    </row>
    <row r="53" spans="8:22" ht="15.75" customHeight="1">
      <c r="H53" s="11"/>
      <c r="I53" s="37" t="str">
        <f t="shared" si="6"/>
        <v>Electroni</v>
      </c>
      <c r="J53" s="36"/>
      <c r="L53" s="18"/>
      <c r="M53" s="8"/>
      <c r="T53" s="11"/>
      <c r="U53" s="27" t="str">
        <f t="shared" si="7"/>
        <v>Bose headphones</v>
      </c>
      <c r="V53" s="14"/>
    </row>
    <row r="54" spans="8:22" ht="15.75" customHeight="1">
      <c r="H54" s="11"/>
      <c r="I54" s="37" t="str">
        <f t="shared" si="6"/>
        <v>Accessories</v>
      </c>
      <c r="J54" s="36"/>
      <c r="L54" s="18"/>
      <c r="M54" s="8"/>
      <c r="T54" s="11"/>
      <c r="U54" s="27" t="str">
        <f t="shared" si="7"/>
        <v>Samsonite Laptop Bag</v>
      </c>
      <c r="V54" s="14"/>
    </row>
    <row r="55" spans="8:22" ht="15.75" customHeight="1">
      <c r="H55" s="11"/>
      <c r="I55" s="37" t="str">
        <f t="shared" si="6"/>
        <v>Electroni</v>
      </c>
      <c r="J55" s="36"/>
      <c r="L55" s="18"/>
      <c r="M55" s="8"/>
      <c r="T55" s="11"/>
      <c r="U55" s="27" t="str">
        <f t="shared" si="7"/>
        <v>Huawei Smartwatch</v>
      </c>
      <c r="V55" s="14"/>
    </row>
    <row r="56" spans="8:22" ht="15.75" customHeight="1">
      <c r="H56" s="11"/>
      <c r="I56" s="37" t="str">
        <f t="shared" si="6"/>
        <v>Electronics</v>
      </c>
      <c r="J56" s="36"/>
      <c r="L56" s="18"/>
      <c r="M56" s="8"/>
      <c r="T56" s="11"/>
      <c r="U56" s="27" t="str">
        <f t="shared" si="7"/>
        <v>Asus laptop</v>
      </c>
      <c r="V56" s="14"/>
    </row>
    <row r="57" spans="8:22" ht="15.75" customHeight="1">
      <c r="H57" s="11"/>
      <c r="I57" s="37" t="str">
        <f t="shared" si="6"/>
        <v>Fashion</v>
      </c>
      <c r="J57" s="36"/>
      <c r="L57" s="18"/>
      <c r="M57" s="8"/>
      <c r="T57" s="11"/>
      <c r="U57" s="27" t="str">
        <f t="shared" si="7"/>
        <v>Oakley Sunglasses</v>
      </c>
      <c r="V57" s="14"/>
    </row>
    <row r="58" spans="8:22" ht="15.75" customHeight="1">
      <c r="H58" s="11"/>
      <c r="I58" s="37" t="str">
        <f t="shared" si="6"/>
        <v>Outdoor</v>
      </c>
      <c r="J58" s="36"/>
      <c r="L58" s="18"/>
      <c r="M58" s="8"/>
      <c r="T58" s="11"/>
      <c r="U58" s="27" t="str">
        <f t="shared" si="7"/>
        <v>Coleman Camping Tent</v>
      </c>
      <c r="V58" s="14"/>
    </row>
    <row r="59" spans="8:22" ht="15.75" customHeight="1">
      <c r="H59" s="11"/>
      <c r="I59" s="37" t="str">
        <f t="shared" si="6"/>
        <v>Electronics</v>
      </c>
      <c r="J59" s="36"/>
      <c r="L59" s="18"/>
      <c r="M59" s="8"/>
      <c r="T59" s="11"/>
      <c r="U59" s="27" t="str">
        <f t="shared" si="7"/>
        <v>Nikon Camera</v>
      </c>
      <c r="V59" s="14"/>
    </row>
    <row r="60" spans="8:22" ht="15.75" customHeight="1">
      <c r="H60" s="11"/>
      <c r="I60" s="37" t="str">
        <f t="shared" si="6"/>
        <v>Kitchen</v>
      </c>
      <c r="J60" s="36"/>
      <c r="L60" s="18"/>
      <c r="M60" s="8"/>
      <c r="T60" s="11"/>
      <c r="U60" s="27" t="str">
        <f t="shared" si="7"/>
        <v>Panasonic Microwave</v>
      </c>
      <c r="V60" s="14"/>
    </row>
    <row r="61" spans="8:22" ht="15.75" customHeight="1">
      <c r="H61" s="11"/>
      <c r="I61" s="37" t="str">
        <f t="shared" si="6"/>
        <v>Unkown</v>
      </c>
      <c r="J61" s="36"/>
      <c r="L61" s="18"/>
      <c r="M61" s="8"/>
      <c r="T61" s="11"/>
      <c r="U61" s="27" t="str">
        <f t="shared" si="7"/>
        <v>Xiaomi Fitness Tracker</v>
      </c>
      <c r="V61" s="14"/>
    </row>
    <row r="62" spans="8:22" ht="15.75" customHeight="1">
      <c r="H62" s="11"/>
      <c r="I62" s="37" t="str">
        <f t="shared" si="6"/>
        <v>Accessories</v>
      </c>
      <c r="J62" s="36"/>
      <c r="L62" s="18"/>
      <c r="M62" s="8"/>
      <c r="T62" s="11"/>
      <c r="U62" s="27" t="str">
        <f t="shared" si="7"/>
        <v>Samsonite Laptop Bag</v>
      </c>
      <c r="V62" s="14"/>
    </row>
    <row r="63" spans="8:22" ht="15.75" customHeight="1">
      <c r="H63" s="11"/>
      <c r="I63" s="37" t="str">
        <f>IF(F26="","Unkown",F26)</f>
        <v>Electronics</v>
      </c>
      <c r="J63" s="36"/>
      <c r="L63" s="18"/>
      <c r="M63" s="8"/>
      <c r="T63" s="11"/>
      <c r="U63" s="27" t="str">
        <f t="shared" si="7"/>
        <v>Google Smartphone</v>
      </c>
      <c r="V63" s="14"/>
    </row>
    <row r="64" spans="8:22" ht="15.75" customHeight="1">
      <c r="H64" s="11"/>
      <c r="I64" s="37" t="str">
        <f t="shared" si="6"/>
        <v>Fashion</v>
      </c>
      <c r="J64" s="36"/>
      <c r="L64" s="18"/>
      <c r="M64" s="8"/>
      <c r="O64" s="6"/>
      <c r="T64" s="11"/>
      <c r="U64" s="27" t="str">
        <f t="shared" si="7"/>
        <v>Ray-Ban Sunglasses</v>
      </c>
      <c r="V64" s="14"/>
    </row>
    <row r="65" spans="8:22" ht="15.75" customHeight="1">
      <c r="H65" s="11"/>
      <c r="I65" s="37" t="str">
        <f t="shared" si="6"/>
        <v>Kitchen</v>
      </c>
      <c r="J65" s="36"/>
      <c r="L65" s="18"/>
      <c r="M65" s="8"/>
      <c r="T65" s="11"/>
      <c r="U65" s="27" t="str">
        <f t="shared" si="7"/>
        <v>Vitamix Blender</v>
      </c>
      <c r="V65" s="14"/>
    </row>
    <row r="66" spans="8:22" ht="15.75" customHeight="1">
      <c r="H66" s="11"/>
      <c r="I66" s="37" t="str">
        <f>IF(F29="","Unkown",F29)</f>
        <v>Electroni</v>
      </c>
      <c r="J66" s="36"/>
      <c r="L66" s="18"/>
      <c r="M66" s="8"/>
      <c r="T66" s="11"/>
      <c r="U66" s="27" t="str">
        <f t="shared" si="7"/>
        <v>Bose headphones</v>
      </c>
      <c r="V66" s="14"/>
    </row>
    <row r="67" spans="8:22" ht="15.75" customHeight="1">
      <c r="H67" s="11"/>
      <c r="I67" s="37" t="str">
        <f t="shared" si="6"/>
        <v>Fashion</v>
      </c>
      <c r="J67" s="36"/>
      <c r="L67" s="17"/>
      <c r="M67" s="8"/>
      <c r="T67" s="11"/>
      <c r="U67" s="27" t="str">
        <f t="shared" si="7"/>
        <v>Zara Dress</v>
      </c>
      <c r="V67" s="14"/>
    </row>
    <row r="68" spans="8:22" ht="15.75" customHeight="1">
      <c r="H68" s="11"/>
      <c r="I68" s="37" t="str">
        <f t="shared" si="6"/>
        <v>Kitchen</v>
      </c>
      <c r="J68" s="36"/>
      <c r="L68" s="17"/>
      <c r="M68" s="8"/>
      <c r="T68" s="11"/>
      <c r="U68" s="27" t="str">
        <f t="shared" si="7"/>
        <v>Hamilton Toaster</v>
      </c>
      <c r="V68" s="14"/>
    </row>
    <row r="69" spans="8:22" ht="15.75" customHeight="1">
      <c r="H69" s="11"/>
      <c r="I69" s="37" t="str">
        <f t="shared" si="6"/>
        <v>Electronics</v>
      </c>
      <c r="J69" s="36"/>
      <c r="L69" s="17"/>
      <c r="M69" s="8"/>
      <c r="T69" s="11"/>
      <c r="U69" s="27" t="str">
        <f t="shared" si="7"/>
        <v>Garmin Fitness Tracker</v>
      </c>
      <c r="V69" s="14"/>
    </row>
    <row r="70" spans="8:22" ht="15.75" customHeight="1">
      <c r="H70" s="11"/>
      <c r="I70" s="37" t="str">
        <f t="shared" si="6"/>
        <v>Fashion</v>
      </c>
      <c r="J70" s="36"/>
      <c r="L70" s="17"/>
      <c r="M70" s="8"/>
      <c r="T70" s="11"/>
      <c r="U70" s="27" t="str">
        <f t="shared" si="7"/>
        <v>Levi's Jeans</v>
      </c>
      <c r="V70" s="14"/>
    </row>
    <row r="71" spans="8:22" ht="15.75" customHeight="1">
      <c r="H71" s="11"/>
      <c r="I71" s="37" t="str">
        <f t="shared" si="6"/>
        <v>Electronics</v>
      </c>
      <c r="J71" s="36"/>
      <c r="L71" s="17"/>
      <c r="M71" s="8"/>
      <c r="T71" s="11"/>
      <c r="U71" s="27" t="str">
        <f t="shared" si="7"/>
        <v>HP Laptop</v>
      </c>
      <c r="V71" s="14"/>
    </row>
    <row r="72" spans="8:22" ht="15.75" customHeight="1">
      <c r="H72" s="11"/>
      <c r="I72" s="37" t="str">
        <f t="shared" si="6"/>
        <v>Accessories</v>
      </c>
      <c r="J72" s="36"/>
      <c r="L72" s="17"/>
      <c r="M72" s="8"/>
      <c r="T72" s="11"/>
      <c r="U72" s="27" t="str">
        <f t="shared" si="7"/>
        <v>Casio Watch</v>
      </c>
      <c r="V72" s="14"/>
    </row>
    <row r="73" spans="8:22" ht="15.75" customHeight="1">
      <c r="I73" s="7"/>
      <c r="L73" s="17"/>
      <c r="M73" s="8"/>
      <c r="U73" s="26"/>
    </row>
    <row r="74" spans="8:22" ht="15.75" customHeight="1">
      <c r="I74" s="7"/>
      <c r="L74" s="17"/>
      <c r="M74" s="8" t="str">
        <f>SUBSTITUTE(F37,"Electroni","Electronics")</f>
        <v/>
      </c>
      <c r="U74" s="26"/>
    </row>
    <row r="75" spans="8:22" ht="15.75" customHeight="1">
      <c r="I75" s="7"/>
      <c r="L75" s="17"/>
      <c r="M75" s="8" t="str">
        <f>SUBSTITUTE(F38,"Electroni","Electronics")</f>
        <v/>
      </c>
      <c r="U75" s="26"/>
    </row>
    <row r="76" spans="8:22" ht="15.75" customHeight="1">
      <c r="I76" s="7"/>
      <c r="L76" s="17"/>
      <c r="M76" s="8" t="str">
        <f>SUBSTITUTE(F39,"Electroni","Electronics")</f>
        <v/>
      </c>
      <c r="U76" s="26"/>
    </row>
    <row r="77" spans="8:22" ht="15.75" customHeight="1">
      <c r="I77" s="7"/>
      <c r="L77" s="17"/>
      <c r="M77" s="8" t="str">
        <f>SUBSTITUTE(F40,"Electroni","Electronics")</f>
        <v/>
      </c>
      <c r="U77" s="26"/>
    </row>
    <row r="78" spans="8:22" ht="15.75" customHeight="1">
      <c r="L78" s="17"/>
      <c r="M78" s="8" t="str">
        <f>SUBSTITUTE(F41,"Electroni","Electronics")</f>
        <v/>
      </c>
      <c r="U78" s="26"/>
    </row>
    <row r="79" spans="8:22" ht="15.75" customHeight="1">
      <c r="L79" s="17"/>
      <c r="M79" s="8" t="str">
        <f>SUBSTITUTE(F42,"Electroni","Electronics")</f>
        <v/>
      </c>
      <c r="U79" s="26"/>
    </row>
    <row r="80" spans="8:22" ht="15.75" customHeight="1">
      <c r="L80" s="17"/>
      <c r="M80" s="8"/>
      <c r="U80" s="26"/>
    </row>
    <row r="81" spans="12:21" ht="15.75" customHeight="1">
      <c r="L81" s="17"/>
      <c r="M81" s="8"/>
      <c r="U81" s="26"/>
    </row>
    <row r="82" spans="12:21" ht="15.75" customHeight="1">
      <c r="L82" s="17"/>
      <c r="M82" s="8"/>
      <c r="U82" s="26"/>
    </row>
    <row r="83" spans="12:21" ht="15.75" customHeight="1">
      <c r="L83" s="17"/>
      <c r="M83" s="8"/>
      <c r="U83" s="26"/>
    </row>
    <row r="84" spans="12:21" ht="15.75" customHeight="1">
      <c r="L84" s="17"/>
      <c r="M84" s="8"/>
      <c r="U84" s="26"/>
    </row>
    <row r="85" spans="12:21" ht="15.75" customHeight="1">
      <c r="L85" s="17"/>
      <c r="M85" s="8"/>
      <c r="U85" s="26"/>
    </row>
    <row r="86" spans="12:21" ht="15.75" customHeight="1">
      <c r="L86" s="17"/>
      <c r="M86" s="8"/>
      <c r="U86" s="26"/>
    </row>
    <row r="87" spans="12:21" ht="15.75" customHeight="1">
      <c r="L87" s="17"/>
      <c r="M87" s="8"/>
      <c r="U87" s="26"/>
    </row>
    <row r="88" spans="12:21" ht="15.75" customHeight="1">
      <c r="L88" s="17"/>
      <c r="M88" s="8"/>
      <c r="U88" s="26"/>
    </row>
    <row r="89" spans="12:21" ht="15.75" customHeight="1">
      <c r="L89" s="17"/>
      <c r="M89" s="8"/>
      <c r="U89" s="26"/>
    </row>
    <row r="90" spans="12:21" ht="15.75" customHeight="1">
      <c r="L90" s="17"/>
      <c r="M90" s="8"/>
      <c r="U90" s="26"/>
    </row>
    <row r="91" spans="12:21" ht="15.75" customHeight="1">
      <c r="L91" s="17"/>
      <c r="M91" s="8"/>
      <c r="U91" s="26"/>
    </row>
    <row r="92" spans="12:21" ht="15.75" customHeight="1">
      <c r="L92" s="17"/>
      <c r="M92" s="8"/>
      <c r="U92" s="26"/>
    </row>
    <row r="93" spans="12:21" ht="15.75" customHeight="1">
      <c r="L93" s="17"/>
      <c r="U93" s="26"/>
    </row>
    <row r="94" spans="12:21" ht="15.75" customHeight="1">
      <c r="L94" s="17"/>
      <c r="U94" s="26"/>
    </row>
    <row r="95" spans="12:21" ht="15.75" customHeight="1">
      <c r="L95" s="17"/>
      <c r="U95" s="26"/>
    </row>
    <row r="96" spans="12:21" ht="15.75" customHeight="1">
      <c r="L96" s="17"/>
      <c r="U96" s="26"/>
    </row>
    <row r="97" spans="12:12" ht="15.75" customHeight="1">
      <c r="L97" s="17"/>
    </row>
    <row r="98" spans="12:12" ht="15.75" customHeight="1">
      <c r="L98" s="17"/>
    </row>
    <row r="99" spans="12:12" ht="15.75" customHeight="1">
      <c r="L99" s="17"/>
    </row>
    <row r="100" spans="12:12" ht="15.75" customHeight="1">
      <c r="L100" s="17"/>
    </row>
    <row r="101" spans="12:12" ht="15.75" customHeight="1">
      <c r="L101" s="17"/>
    </row>
    <row r="102" spans="12:12" ht="15.75" customHeight="1">
      <c r="L102" s="17"/>
    </row>
    <row r="103" spans="12:12" ht="15.75" customHeight="1">
      <c r="L103" s="17"/>
    </row>
    <row r="104" spans="12:12" ht="15.75" customHeight="1">
      <c r="L104" s="17"/>
    </row>
    <row r="105" spans="12:12" ht="15.75" customHeight="1">
      <c r="L105" s="17"/>
    </row>
    <row r="106" spans="12:12" ht="15.75" customHeight="1">
      <c r="L106" s="17"/>
    </row>
    <row r="107" spans="12:12" ht="15.75" customHeight="1">
      <c r="L107" s="17"/>
    </row>
    <row r="108" spans="12:12" ht="15.75" customHeight="1">
      <c r="L108" s="17"/>
    </row>
    <row r="109" spans="12:12" ht="15.75" customHeight="1">
      <c r="L109" s="17"/>
    </row>
    <row r="110" spans="12:12" ht="15.75" customHeight="1">
      <c r="L110" s="17"/>
    </row>
    <row r="111" spans="12:12" ht="15.75" customHeight="1">
      <c r="L111" s="17"/>
    </row>
    <row r="112" spans="12:12" ht="15.75" customHeight="1">
      <c r="L112" s="17"/>
    </row>
    <row r="113" spans="12:12" ht="15.75" customHeight="1">
      <c r="L113" s="17"/>
    </row>
    <row r="114" spans="12:12" ht="15.75" customHeight="1">
      <c r="L114" s="17"/>
    </row>
    <row r="115" spans="12:12" ht="15.75" customHeight="1">
      <c r="L115" s="17"/>
    </row>
    <row r="116" spans="12:12" ht="15.75" customHeight="1">
      <c r="L116" s="17"/>
    </row>
    <row r="117" spans="12:12" ht="15.75" customHeight="1">
      <c r="L117" s="17"/>
    </row>
    <row r="118" spans="12:12" ht="15.75" customHeight="1">
      <c r="L118" s="17"/>
    </row>
    <row r="119" spans="12:12" ht="15.75" customHeight="1">
      <c r="L119" s="17"/>
    </row>
    <row r="120" spans="12:12" ht="15.75" customHeight="1">
      <c r="L120" s="17"/>
    </row>
    <row r="121" spans="12:12" ht="15.75" customHeight="1">
      <c r="L121" s="17"/>
    </row>
    <row r="122" spans="12:12" ht="15.75" customHeight="1">
      <c r="L122" s="17"/>
    </row>
    <row r="123" spans="12:12" ht="15.75" customHeight="1">
      <c r="L123" s="17"/>
    </row>
    <row r="124" spans="12:12" ht="15.75" customHeight="1">
      <c r="L124" s="17"/>
    </row>
    <row r="125" spans="12:12" ht="15.75" customHeight="1">
      <c r="L125" s="17"/>
    </row>
    <row r="126" spans="12:12" ht="15.75" customHeight="1">
      <c r="L126" s="17"/>
    </row>
    <row r="127" spans="12:12" ht="15.75" customHeight="1"/>
    <row r="128" spans="12:1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W19:W20"/>
    <mergeCell ref="T3:T37"/>
    <mergeCell ref="V49:V50"/>
    <mergeCell ref="T38:T72"/>
    <mergeCell ref="T1:W1"/>
    <mergeCell ref="U2:V2"/>
    <mergeCell ref="W15:W16"/>
    <mergeCell ref="P1:P34"/>
    <mergeCell ref="L39:N39"/>
    <mergeCell ref="L41:L44"/>
    <mergeCell ref="N41:N44"/>
    <mergeCell ref="H1:J1"/>
    <mergeCell ref="H3:H37"/>
    <mergeCell ref="H38:H72"/>
    <mergeCell ref="L1:N1"/>
    <mergeCell ref="L3:L37"/>
    <mergeCell ref="M42:M44"/>
  </mergeCells>
  <conditionalFormatting sqref="I4:I37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{1F4F3F70-E125-4E7A-9E2C-4916916A39DD}</x14:id>
        </ext>
      </extLst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81A8B69-085F-479F-9154-0333CCD67074}">
            <xm:f>NOT(ISERROR(SEARCH($Q$15,Q1)))</xm:f>
            <xm:f>$Q$15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Q1:Q34</xm:sqref>
        </x14:conditionalFormatting>
        <x14:conditionalFormatting xmlns:xm="http://schemas.microsoft.com/office/excel/2006/main">
          <x14:cfRule type="dataBar" id="{1F4F3F70-E125-4E7A-9E2C-4916916A39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I4:I37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A</cp:lastModifiedBy>
  <dcterms:created xsi:type="dcterms:W3CDTF">2026-07-23T14:43:37Z</dcterms:created>
  <dcterms:modified xsi:type="dcterms:W3CDTF">2026-09-27T12:12:38Z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